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ummary" sheetId="2" state="visible" r:id="rId4"/>
    <sheet name="Tiers" sheetId="3" state="visible" r:id="rId5"/>
    <sheet name="Controls" sheetId="4" state="visible" r:id="rId6"/>
    <sheet name="Client visit" sheetId="5" state="visible" r:id="rId7"/>
    <sheet name="Regulatory scope" sheetId="6" state="visible" r:id="rId8"/>
  </sheets>
  <definedNames>
    <definedName function="false" hidden="true" localSheetId="3" name="_xlnm._FilterDatabase" vbProcedure="false">Controls!$A$1:$X$74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<sst xmlns="http://schemas.openxmlformats.org/spreadsheetml/2006/main" count="1496" uniqueCount="792">
  <si>
    <t xml:space="preserve">Duvo AI – Prague office compliance self-audit (control mapping)</t>
  </si>
  <si>
    <t xml:space="preserve">Prepared 27 Oct 2026 (trial day). Purpose: one source of truth that drives (1) the findings report and (2) the remote self-audit app any office member can run.</t>
  </si>
  <si>
    <t xml:space="preserve">How to use</t>
  </si>
  <si>
    <t xml:space="preserve">1. Controls tab: one row per control. Read 'Control', 'Why we check this' and 'Threat if missing', then follow 'How to check' and collect what 'What the proof looks like' describes.</t>
  </si>
  <si>
    <t xml:space="preserve">2. Fill only the yellow columns: Status, Finding / notes, Risk, Owner, Effort, Last checked, Checked by. Everything else is the reference design.</t>
  </si>
  <si>
    <t xml:space="preserve">3. Tier = how demanding the check is (see Tiers tab). Tiers are cumulative: to be ready at ☠☠ Medium you must also pass every ☠ Easy control.</t>
  </si>
  <si>
    <t xml:space="preserve">4. 'Client visit' = Yes means the control is also in the quick pre-visit check (Client visit tab), to be run within 24 h before any client or auditor visit.</t>
  </si>
  <si>
    <t xml:space="preserve">5. 'Automatable?' and 'Automation idea' show where the check or the control itself can run without a person (e.g., badge activates only when NDA + ID + approvals are complete).</t>
  </si>
  <si>
    <t xml:space="preserve">6. Summary tab calculates readiness per tier, client-visit readiness and status by domain automatically.</t>
  </si>
  <si>
    <t xml:space="preserve">Example rows</t>
  </si>
  <si>
    <t xml:space="preserve">Fill the yellow columns with your own observations; leave the rest as the reference design.</t>
  </si>
  <si>
    <t xml:space="preserve">Important</t>
  </si>
  <si>
    <t xml:space="preserve">Legal references are mapping aids, not legal advice. Czech-law specifics (thresholds, decrees, inspection intervals) should be confirmed with the OZO / Czech counsel before relying on them in a customer response.</t>
  </si>
  <si>
    <t xml:space="preserve">NIS2 and DORA mappings reflect customer flow-down (Duvo supplies banks and critical entities), not confirmed direct applicability. See the Regulatory scope tab.</t>
  </si>
  <si>
    <t xml:space="preserve">Readiness summary (calculated)</t>
  </si>
  <si>
    <t xml:space="preserve">Tier (cumulative)</t>
  </si>
  <si>
    <t xml:space="preserve">Applicable controls</t>
  </si>
  <si>
    <t xml:space="preserve">Compliant</t>
  </si>
  <si>
    <t xml:space="preserve">Partial</t>
  </si>
  <si>
    <t xml:space="preserve">Non-compliant</t>
  </si>
  <si>
    <t xml:space="preserve">Not assessed</t>
  </si>
  <si>
    <t xml:space="preserve">Readiness %</t>
  </si>
  <si>
    <t xml:space="preserve">☠ Easy ready</t>
  </si>
  <si>
    <t xml:space="preserve">☠☠ Medium ready</t>
  </si>
  <si>
    <t xml:space="preserve">☠☠☠ Hard ready</t>
  </si>
  <si>
    <t xml:space="preserve">Client-visit controls</t>
  </si>
  <si>
    <t xml:space="preserve">Readiness % = Compliant ÷ applicable (N/A excluded). Partial counts as not ready.</t>
  </si>
  <si>
    <t xml:space="preserve">Domain</t>
  </si>
  <si>
    <t xml:space="preserve">Controls</t>
  </si>
  <si>
    <t xml:space="preserve">Open High risks</t>
  </si>
  <si>
    <t xml:space="preserve">Physical access &amp; perimeter</t>
  </si>
  <si>
    <t xml:space="preserve">Visitors</t>
  </si>
  <si>
    <t xml:space="preserve">Badges &amp; keys</t>
  </si>
  <si>
    <t xml:space="preserve">CCTV &amp; monitoring</t>
  </si>
  <si>
    <t xml:space="preserve">Clean desk, screens &amp; meeting rooms</t>
  </si>
  <si>
    <t xml:space="preserve">Network &amp; Wi-Fi</t>
  </si>
  <si>
    <t xml:space="preserve">Devices &amp; equipment</t>
  </si>
  <si>
    <t xml:space="preserve">Media &amp; disposal</t>
  </si>
  <si>
    <t xml:space="preserve">Health &amp; safety (BOZP)</t>
  </si>
  <si>
    <t xml:space="preserve">Fire &amp; emergency</t>
  </si>
  <si>
    <t xml:space="preserve">People &amp; legal obligations</t>
  </si>
  <si>
    <t xml:space="preserve">Tenancy &amp; shared building</t>
  </si>
  <si>
    <t xml:space="preserve">Audit readiness &amp; client visits</t>
  </si>
  <si>
    <t xml:space="preserve">Incidents &amp; continuity</t>
  </si>
  <si>
    <t xml:space="preserve">Total</t>
  </si>
  <si>
    <t xml:space="preserve">Automation potential</t>
  </si>
  <si>
    <t xml:space="preserve">Full</t>
  </si>
  <si>
    <t xml:space="preserve">No</t>
  </si>
  <si>
    <t xml:space="preserve">Tier</t>
  </si>
  <si>
    <t xml:space="preserve">What it means</t>
  </si>
  <si>
    <t xml:space="preserve">Who would hold us to it</t>
  </si>
  <si>
    <t xml:space="preserve">Reference yardstick</t>
  </si>
  <si>
    <t xml:space="preserve">☠ Easy</t>
  </si>
  <si>
    <t xml:space="preserve">Legal baseline and basic security hygiene. Failing here is a legal or obvious security problem.</t>
  </si>
  <si>
    <t xml:space="preserve">Czech authorities (labour/fire inspection, ÚOOÚ), insurers, any auditor.</t>
  </si>
  <si>
    <t xml:space="preserve">GDPR, Czech labour, H&amp;S and fire law; ISO 27001 must-haves.</t>
  </si>
  <si>
    <t xml:space="preserve">☠☠ Medium</t>
  </si>
  <si>
    <t xml:space="preserve">Certification-ready. What an ISO 27001 or SOC 2 auditor expects to see evidenced and operating.</t>
  </si>
  <si>
    <t xml:space="preserve">ISO 27001 certification body; SOC 2 auditor; most enterprise customers.</t>
  </si>
  <si>
    <t xml:space="preserve">ISO 27001:2022 Annex A; SOC 2 Trust Services Criteria.</t>
  </si>
  <si>
    <t xml:space="preserve">☠☠☠ Hard</t>
  </si>
  <si>
    <t xml:space="preserve">Regulated-customer grade. What a bank or critical-entity customer will demand when auditing a supplier on site.</t>
  </si>
  <si>
    <t xml:space="preserve">Bank / critical-entity customers via NIS2 supply-chain and DORA contractual (audit/access) rights.</t>
  </si>
  <si>
    <t xml:space="preserve">NIS2 Art 21 + CZ Act 264/2025; DORA Art 28–30 flow-down; PCI DSS physical controls as yardstick.</t>
  </si>
  <si>
    <t xml:space="preserve">ID</t>
  </si>
  <si>
    <t xml:space="preserve">Control (plain English)</t>
  </si>
  <si>
    <t xml:space="preserve">Why we check this</t>
  </si>
  <si>
    <t xml:space="preserve">Threat if missing</t>
  </si>
  <si>
    <t xml:space="preserve">Client visit</t>
  </si>
  <si>
    <t xml:space="preserve">How to check (step by step)</t>
  </si>
  <si>
    <t xml:space="preserve">What the proof looks like</t>
  </si>
  <si>
    <t xml:space="preserve">GDPR / CZ privacy</t>
  </si>
  <si>
    <t xml:space="preserve">Czech law</t>
  </si>
  <si>
    <t xml:space="preserve">ISO 27001:2022</t>
  </si>
  <si>
    <t xml:space="preserve">SOC 2 TSC</t>
  </si>
  <si>
    <t xml:space="preserve">NIS2 (Art. 21 / CZ 264/2025)</t>
  </si>
  <si>
    <t xml:space="preserve">AI Act / ISO 42001</t>
  </si>
  <si>
    <t xml:space="preserve">Automatable?</t>
  </si>
  <si>
    <t xml:space="preserve">Automation idea</t>
  </si>
  <si>
    <t xml:space="preserve">Status</t>
  </si>
  <si>
    <t xml:space="preserve">Finding / notes</t>
  </si>
  <si>
    <t xml:space="preserve">Risk</t>
  </si>
  <si>
    <t xml:space="preserve">Owner</t>
  </si>
  <si>
    <t xml:space="preserve">Effort (S/M/L)</t>
  </si>
  <si>
    <t xml:space="preserve">Last checked</t>
  </si>
  <si>
    <t xml:space="preserve">Checked by</t>
  </si>
  <si>
    <t xml:space="preserve">PA-01</t>
  </si>
  <si>
    <t xml:space="preserve">Every way into the office (main door, side doors, fire exits, goods lift) is locked and only opens with a badge or key.</t>
  </si>
  <si>
    <t xml:space="preserve">Only people we know and approved should be able to walk in.</t>
  </si>
  <si>
    <t xml:space="preserve">Walk-in theft of laptops; a stranger reading customer data on screens; someone plugging a device into our network.</t>
  </si>
  <si>
    <t xml:space="preserve">Yes</t>
  </si>
  <si>
    <t xml:space="preserve">Walk every entrance. From the outside, try each door without a badge. Note any door that opens.</t>
  </si>
  <si>
    <t xml:space="preserve">Photo of each entrance and its reader/lock; list of entrances with result (opens / doesn't).</t>
  </si>
  <si>
    <t xml:space="preserve">Art 32</t>
  </si>
  <si>
    <t xml:space="preserve">—</t>
  </si>
  <si>
    <t xml:space="preserve">A.7.1, A.7.2</t>
  </si>
  <si>
    <t xml:space="preserve">CC6.4</t>
  </si>
  <si>
    <t xml:space="preserve">Art 21(2)(i)</t>
  </si>
  <si>
    <t xml:space="preserve">Door sensors on the access system alert in Slack if a door is forced open.</t>
  </si>
  <si>
    <t xml:space="preserve">PA-02</t>
  </si>
  <si>
    <t xml:space="preserve">Doors are never propped open, and the system alerts if a door is held open too long.</t>
  </si>
  <si>
    <t xml:space="preserve">A propped door cancels every other access control.</t>
  </si>
  <si>
    <t xml:space="preserve">Tailgating: anyone walks in behind the cleaning crew or a delivery.</t>
  </si>
  <si>
    <t xml:space="preserve">At arrival time, watch the main door for 15 min. Ask the landlord/admin whether a door-held-open alarm exists and who receives it.</t>
  </si>
  <si>
    <t xml:space="preserve">Screenshot of the alarm setting or alert recipient; note of observation.</t>
  </si>
  <si>
    <t xml:space="preserve">A.7.2, A.7.4</t>
  </si>
  <si>
    <t xml:space="preserve">Door-held-open &gt; 60s → automatic alert to office owner channel.</t>
  </si>
  <si>
    <t xml:space="preserve">PA-03</t>
  </si>
  <si>
    <t xml:space="preserve">Staff know to challenge or report anyone they don't recognise following them in.</t>
  </si>
  <si>
    <t xml:space="preserve">Social engineering beats locks. People are the last line.</t>
  </si>
  <si>
    <t xml:space="preserve">Fake courier / fake IT technician gains entry by following an employee.</t>
  </si>
  <si>
    <t xml:space="preserve">Ask 3 people in the office: 'What do you do if someone you don't know follows you through the door?'</t>
  </si>
  <si>
    <t xml:space="preserve">Training completion record covering tailgating; photo of 'no tailgating' sign; notes of the 3 answers.</t>
  </si>
  <si>
    <t xml:space="preserve">A.6.3, A.7.2</t>
  </si>
  <si>
    <t xml:space="preserve">CC1.4, CC2.2</t>
  </si>
  <si>
    <t xml:space="preserve">Art 21(2)(g)</t>
  </si>
  <si>
    <t xml:space="preserve">LMS tracks completion; annual reminder sent automatically.</t>
  </si>
  <si>
    <t xml:space="preserve">PA-04</t>
  </si>
  <si>
    <t xml:space="preserve">The network cabinet, server/comms room and any storage with equipment are separately locked; we know who holds the keys.</t>
  </si>
  <si>
    <t xml:space="preserve">Network equipment is the easiest way to get persistent access to everything.</t>
  </si>
  <si>
    <t xml:space="preserve">Rogue device on the switch; theft of equipment; tampering with Wi-Fi.</t>
  </si>
  <si>
    <t xml:space="preserve">Find the network cabinet/router. Is it locked? Who has the key? Is it ours or the landlord's?</t>
  </si>
  <si>
    <t xml:space="preserve">Photo of locked cabinet; key-holder list.</t>
  </si>
  <si>
    <t xml:space="preserve">A.7.3, A.7.6, A.7.12</t>
  </si>
  <si>
    <t xml:space="preserve">PA-05</t>
  </si>
  <si>
    <t xml:space="preserve">Door access logs are kept for a defined period and reviewed at least quarterly.</t>
  </si>
  <si>
    <t xml:space="preserve">Auditors and customers will ask 'who entered the office and when?'. We must be able to answer.</t>
  </si>
  <si>
    <t xml:space="preserve">Insider or ex-employee access goes unnoticed; we can't investigate an incident.</t>
  </si>
  <si>
    <t xml:space="preserve">Ask who runs the access system. Request a 7-day log export. Ask how long logs are kept and who reviews them.</t>
  </si>
  <si>
    <t xml:space="preserve">Log export sample; retention setting; dated review record.</t>
  </si>
  <si>
    <t xml:space="preserve">Art 5(1)(e), Art 30</t>
  </si>
  <si>
    <t xml:space="preserve">Labour Code §316 (access logging is employee monitoring – proportionate, employees informed)</t>
  </si>
  <si>
    <t xml:space="preserve">A.7.2, A.8.15</t>
  </si>
  <si>
    <t xml:space="preserve">Quarterly export auto-compared to HR roster; mismatches raised as a ticket (good Duvo agent use case).</t>
  </si>
  <si>
    <t xml:space="preserve">PA-06</t>
  </si>
  <si>
    <t xml:space="preserve">Unusual access (nights, weekends, badge used by a leaver) triggers an alert.</t>
  </si>
  <si>
    <t xml:space="preserve">Regulated customers expect detective, not only preventive, controls.</t>
  </si>
  <si>
    <t xml:space="preserve">Break-in or misuse of a stolen badge discovered days later.</t>
  </si>
  <si>
    <t xml:space="preserve">Ask whether the access system can alert on out-of-hours use. Check if it's configured.</t>
  </si>
  <si>
    <t xml:space="preserve">Alert rule screenshot; one test alert.</t>
  </si>
  <si>
    <t xml:space="preserve">A.7.4, A.8.16</t>
  </si>
  <si>
    <t xml:space="preserve">CC7.2</t>
  </si>
  <si>
    <t xml:space="preserve">Art 21(2)(b)</t>
  </si>
  <si>
    <t xml:space="preserve">Rule: badge use 22:00–06:00 or weekends → alert to office owner + security.</t>
  </si>
  <si>
    <t xml:space="preserve">VI-01</t>
  </si>
  <si>
    <t xml:space="preserve">Every visitor's identity is checked against a photo ID on arrival (viewed, not copied).</t>
  </si>
  <si>
    <t xml:space="preserve">We need to know the person in the building is who they say they are.</t>
  </si>
  <si>
    <t xml:space="preserve">Impersonation ('I'm from the client / from IT'); a stranger with a visitor badge walking around.</t>
  </si>
  <si>
    <t xml:space="preserve">Arrive as / with a visitor. Is ID requested and actually looked at?</t>
  </si>
  <si>
    <t xml:space="preserve">Visitor procedure; check-in record showing 'ID verified: yes / by whom'. Do NOT store ID copies.</t>
  </si>
  <si>
    <t xml:space="preserve">Art 5(1)(c) – verify, don't copy</t>
  </si>
  <si>
    <t xml:space="preserve">Czech rules restrict copying ID cards – check visually only</t>
  </si>
  <si>
    <t xml:space="preserve">A.7.2</t>
  </si>
  <si>
    <t xml:space="preserve">Check-in tablet asks the host/receptionist to tick 'ID verified' before the badge prints.</t>
  </si>
  <si>
    <t xml:space="preserve">VI-02</t>
  </si>
  <si>
    <t xml:space="preserve">Every visitor is logged: name, company, host, time in, time out.</t>
  </si>
  <si>
    <t xml:space="preserve">In a fire we must know who is inside. In an incident we must know who was there.</t>
  </si>
  <si>
    <t xml:space="preserve">Missing person in an evacuation; no trail after a theft or data leak.</t>
  </si>
  <si>
    <t xml:space="preserve">Check whether there's a visitor book or digital log. Is today's visitor in it?</t>
  </si>
  <si>
    <t xml:space="preserve">Log entries for the last visits; retention period stated.</t>
  </si>
  <si>
    <t xml:space="preserve">Art 5(1)(e), Art 13, Art 30</t>
  </si>
  <si>
    <t xml:space="preserve">Host invites visitor via calendar → visitor gets pre-registration email → QR check-in creates the log entry automatically.</t>
  </si>
  <si>
    <t xml:space="preserve">VI-03</t>
  </si>
  <si>
    <t xml:space="preserve">Visitors are accompanied by their host at all times outside meeting rooms.</t>
  </si>
  <si>
    <t xml:space="preserve">Visitors shouldn't wander past screens and whiteboards.</t>
  </si>
  <si>
    <t xml:space="preserve">Shoulder-surfing of customer data; photos of our pipeline.</t>
  </si>
  <si>
    <t xml:space="preserve">Observe a visit. Was the visitor left alone in open areas?</t>
  </si>
  <si>
    <t xml:space="preserve">Visitor rules (1 page); observation note.</t>
  </si>
  <si>
    <t xml:space="preserve">A.7.2, A.7.6</t>
  </si>
  <si>
    <t xml:space="preserve">VI-04</t>
  </si>
  <si>
    <t xml:space="preserve">Visitors wear a visibly different badge that stops working at the end of the day and is returned.</t>
  </si>
  <si>
    <t xml:space="preserve">Staff must be able to tell a visitor from a colleague at a glance.</t>
  </si>
  <si>
    <t xml:space="preserve">Visitor badges kept and reused to get back in.</t>
  </si>
  <si>
    <t xml:space="preserve">Look at a visitor badge. Does it look different? Does it expire? Count issued vs returned.</t>
  </si>
  <si>
    <t xml:space="preserve">Photo of visitor badge; badge config showing same-day expiry.</t>
  </si>
  <si>
    <t xml:space="preserve">Temporary QR badge auto-expires at 23:59 on the visit day.</t>
  </si>
  <si>
    <t xml:space="preserve">VI-05</t>
  </si>
  <si>
    <t xml:space="preserve">Visitors who will see more than a meeting room sign an NDA before they enter.</t>
  </si>
  <si>
    <t xml:space="preserve">We show customer workflows and automations on screens. That is confidential.</t>
  </si>
  <si>
    <t xml:space="preserve">Visitor discloses a customer's processes or our product roadmap.</t>
  </si>
  <si>
    <t xml:space="preserve">Ask the host: was an NDA signed? Where is it stored?</t>
  </si>
  <si>
    <t xml:space="preserve">Signed NDA linked to the visit record.</t>
  </si>
  <si>
    <t xml:space="preserve">Civil Code (contractual confidentiality)</t>
  </si>
  <si>
    <t xml:space="preserve">A.6.6</t>
  </si>
  <si>
    <t xml:space="preserve">C1.1, CC2.3</t>
  </si>
  <si>
    <t xml:space="preserve">Art 21(2)(d)</t>
  </si>
  <si>
    <t xml:space="preserve">NDA e-signature link sent in the pre-registration email. No signature → no badge.</t>
  </si>
  <si>
    <t xml:space="preserve">VI-06</t>
  </si>
  <si>
    <t xml:space="preserve">Visitors receive a short privacy notice (visitor log, CCTV, Wi-Fi) before or at arrival.</t>
  </si>
  <si>
    <t xml:space="preserve">GDPR requires telling people what we collect about them, when we collect it.</t>
  </si>
  <si>
    <t xml:space="preserve">Complaint to the Czech DPA (ÚOOÚ); unhappy client legal team.</t>
  </si>
  <si>
    <t xml:space="preserve">Is there a notice at reception or in the invite email?</t>
  </si>
  <si>
    <t xml:space="preserve">Copy of the notice; screenshot of the invite email.</t>
  </si>
  <si>
    <t xml:space="preserve">Art 13, Act 110/2019</t>
  </si>
  <si>
    <t xml:space="preserve">A.5.34</t>
  </si>
  <si>
    <t xml:space="preserve">P1.1</t>
  </si>
  <si>
    <t xml:space="preserve">Notice embedded in the pre-registration email; no manual step.</t>
  </si>
  <si>
    <t xml:space="preserve">VI-07</t>
  </si>
  <si>
    <t xml:space="preserve">Contractors, cleaners and maintenance follow the same process; they are supervised in sensitive areas and their access hours are limited.</t>
  </si>
  <si>
    <t xml:space="preserve">Cleaners and maintenance often have more access than staff, often out of hours.</t>
  </si>
  <si>
    <t xml:space="preserve">Classic social-engineering route; theft of devices at night.</t>
  </si>
  <si>
    <t xml:space="preserve">Ask who cleans, when, with what key/badge, and whether their contract includes confidentiality.</t>
  </si>
  <si>
    <t xml:space="preserve">Contractor list with access hours; contract confidentiality clause.</t>
  </si>
  <si>
    <t xml:space="preserve">Art 28 (if they handle personal data)</t>
  </si>
  <si>
    <t xml:space="preserve">A.5.19, A.5.20, A.7.6</t>
  </si>
  <si>
    <t xml:space="preserve">CC9.2</t>
  </si>
  <si>
    <t xml:space="preserve">Contractor badges scheduled to work only in agreed hours.</t>
  </si>
  <si>
    <t xml:space="preserve">VI-08</t>
  </si>
  <si>
    <t xml:space="preserve">Couriers and deliveries are handled at reception and don't enter the office.</t>
  </si>
  <si>
    <t xml:space="preserve">Couriers are the easiest disguise.</t>
  </si>
  <si>
    <t xml:space="preserve">Stranger in the office with a parcel as cover.</t>
  </si>
  <si>
    <t xml:space="preserve">Ask how deliveries arrive. Where do they stop?</t>
  </si>
  <si>
    <t xml:space="preserve">Delivery instruction (1 line) at reception / in building rules.</t>
  </si>
  <si>
    <t xml:space="preserve">BD-01</t>
  </si>
  <si>
    <t xml:space="preserve">An office badge is issued only after identity is verified and the company confirms the person in writing (HR/manager approval). Fails at every tier if missing.</t>
  </si>
  <si>
    <t xml:space="preserve">Whoever holds a permanent badge has the same physical access as an employee.</t>
  </si>
  <si>
    <t xml:space="preserve">Anyone who claims to be a new joiner gets permanent access; no trail of who approved it.</t>
  </si>
  <si>
    <t xml:space="preserve">Ask how a new person gets a badge. Who approves? Is ID checked? Where is the record?</t>
  </si>
  <si>
    <t xml:space="preserve">Badge request with approver + date; HR record matching the badge holder.</t>
  </si>
  <si>
    <t xml:space="preserve">A.5.16, A.5.18, A.7.2</t>
  </si>
  <si>
    <t xml:space="preserve">CC6.2, CC6.4</t>
  </si>
  <si>
    <t xml:space="preserve">Badge activates only when HR system shows: signed contract + NDA + policy acknowledgement + security training complete + ID verified.</t>
  </si>
  <si>
    <t xml:space="preserve">BD-02</t>
  </si>
  <si>
    <t xml:space="preserve">Leavers' badges and keys are deactivated/returned on their last day.</t>
  </si>
  <si>
    <t xml:space="preserve">Ex-employees should not be able to walk back in.</t>
  </si>
  <si>
    <t xml:space="preserve">Disgruntled ex-employee access; badge sold or lost.</t>
  </si>
  <si>
    <t xml:space="preserve">Take the last 3 leavers. Are their badges inactive? Were keys returned?</t>
  </si>
  <si>
    <t xml:space="preserve">Offboarding checklist with badge deactivation date = last day.</t>
  </si>
  <si>
    <t xml:space="preserve">A.5.18, A.6.5</t>
  </si>
  <si>
    <t xml:space="preserve">CC6.3, CC6.4</t>
  </si>
  <si>
    <t xml:space="preserve">HR offboarding event deactivates the badge automatically at end of last day.</t>
  </si>
  <si>
    <t xml:space="preserve">BD-03</t>
  </si>
  <si>
    <t xml:space="preserve">The list of active badges is reconciled against current staff every quarter.</t>
  </si>
  <si>
    <t xml:space="preserve">Badges drift: contractors, interns, lost cards.</t>
  </si>
  <si>
    <t xml:space="preserve">Unknown active badges in circulation.</t>
  </si>
  <si>
    <t xml:space="preserve">Export active badges; compare with HR headcount for Prague.</t>
  </si>
  <si>
    <t xml:space="preserve">Dated reconciliation with differences explained.</t>
  </si>
  <si>
    <t xml:space="preserve">Art 5(1)(d)</t>
  </si>
  <si>
    <t xml:space="preserve">A.5.18</t>
  </si>
  <si>
    <t xml:space="preserve">Scheduled job compares badge list vs HR system and opens a ticket for every mismatch.</t>
  </si>
  <si>
    <t xml:space="preserve">BD-04</t>
  </si>
  <si>
    <t xml:space="preserve">Physical keys (doors, cabinets, lockers) are inventoried with named holders.</t>
  </si>
  <si>
    <t xml:space="preserve">Keys can't be revoked. We must know where every one is.</t>
  </si>
  <si>
    <t xml:space="preserve">Unrecorded key copies; no way to know who can open the cabinet.</t>
  </si>
  <si>
    <t xml:space="preserve">List all keys and who holds them. Ask the landlord about master keys.</t>
  </si>
  <si>
    <t xml:space="preserve">Key register.</t>
  </si>
  <si>
    <t xml:space="preserve">A.7.2, A.7.3</t>
  </si>
  <si>
    <t xml:space="preserve">BD-05</t>
  </si>
  <si>
    <t xml:space="preserve">There is a simple lost-badge rule: report immediately, badge is blocked the same day.</t>
  </si>
  <si>
    <t xml:space="preserve">A lost badge is an open door until it's blocked.</t>
  </si>
  <si>
    <t xml:space="preserve">Found badge used to enter.</t>
  </si>
  <si>
    <t xml:space="preserve">Ask 2 staff: what would you do if you lost your badge?</t>
  </si>
  <si>
    <t xml:space="preserve">Rule published; example block record.</t>
  </si>
  <si>
    <t xml:space="preserve">A.6.8, A.7.2</t>
  </si>
  <si>
    <t xml:space="preserve">CC6.4, CC7.3</t>
  </si>
  <si>
    <t xml:space="preserve">Slack shortcut /lostbadge blocks the badge and notifies the office owner.</t>
  </si>
  <si>
    <t xml:space="preserve">BD-06</t>
  </si>
  <si>
    <t xml:space="preserve">Badge access levels follow least privilege (e.g., only named people open the network cabinet / storage).</t>
  </si>
  <si>
    <t xml:space="preserve">Not everyone needs every door.</t>
  </si>
  <si>
    <t xml:space="preserve">Insider or stolen badge opens sensitive areas.</t>
  </si>
  <si>
    <t xml:space="preserve">Review access groups in the badge system.</t>
  </si>
  <si>
    <t xml:space="preserve">Access-group list with justification per group.</t>
  </si>
  <si>
    <t xml:space="preserve">A.5.15, A.5.18</t>
  </si>
  <si>
    <t xml:space="preserve">CV-01</t>
  </si>
  <si>
    <t xml:space="preserve">We know whether CCTV exists, who operates it (Duvo or landlord), and our role (controller / processor / neither) is written down.</t>
  </si>
  <si>
    <t xml:space="preserve">If cameras film our people or visitors, someone is legally responsible. It must be clear who.</t>
  </si>
  <si>
    <t xml:space="preserve">DPA fine; inability to get footage after an incident.</t>
  </si>
  <si>
    <t xml:space="preserve">Look for cameras inside the office and at entrances. Ask the landlord who runs them.</t>
  </si>
  <si>
    <t xml:space="preserve">Camera map; landlord confirmation; role statement.</t>
  </si>
  <si>
    <t xml:space="preserve">Art 24, 26, 28</t>
  </si>
  <si>
    <t xml:space="preserve">ÚOOÚ CCTV guidance</t>
  </si>
  <si>
    <t xml:space="preserve">A.5.31, A.5.34</t>
  </si>
  <si>
    <t xml:space="preserve">CC9.2, P criteria</t>
  </si>
  <si>
    <t xml:space="preserve">CV-02</t>
  </si>
  <si>
    <t xml:space="preserve">CCTV signs are posted before people enter the filmed area, with a link/QR to the full notice.</t>
  </si>
  <si>
    <t xml:space="preserve">People must be told before they are filmed.</t>
  </si>
  <si>
    <t xml:space="preserve">DPA complaint; reputational hit with a client visiting.</t>
  </si>
  <si>
    <t xml:space="preserve">Check every entrance for a sign.</t>
  </si>
  <si>
    <t xml:space="preserve">Photo of each sign; full notice text.</t>
  </si>
  <si>
    <t xml:space="preserve">Art 13</t>
  </si>
  <si>
    <t xml:space="preserve">Pre-visit email includes the CCTV notice; sign has QR to the live notice.</t>
  </si>
  <si>
    <t xml:space="preserve">CV-03</t>
  </si>
  <si>
    <t xml:space="preserve">Cameras don't film desks, screens, kitchens, toilets or rest areas; employee monitoring is limited to what is necessary.</t>
  </si>
  <si>
    <t xml:space="preserve">Czech law strictly limits monitoring employees at work. Cameras on screens also leak data.</t>
  </si>
  <si>
    <t xml:space="preserve">Unlawful employee surveillance; cameras recording customer data on monitors.</t>
  </si>
  <si>
    <t xml:space="preserve">Check each camera's angle (ask for a still from each).</t>
  </si>
  <si>
    <t xml:space="preserve">Still image per camera; justification per camera.</t>
  </si>
  <si>
    <t xml:space="preserve">Art 5(1)(c), Art 6(1)(f)</t>
  </si>
  <si>
    <t xml:space="preserve">Labour Code §316</t>
  </si>
  <si>
    <t xml:space="preserve">A.5.34, A.7.4</t>
  </si>
  <si>
    <t xml:space="preserve">P criteria</t>
  </si>
  <si>
    <t xml:space="preserve">CV-04</t>
  </si>
  <si>
    <t xml:space="preserve">Footage is deleted automatically after a short, defined period.</t>
  </si>
  <si>
    <t xml:space="preserve">Keeping footage 'just in case' breaks GDPR.</t>
  </si>
  <si>
    <t xml:space="preserve">Over-retention fine; larger breach if the recorder is hacked.</t>
  </si>
  <si>
    <t xml:space="preserve">Ask the operator for the retention setting.</t>
  </si>
  <si>
    <t xml:space="preserve">Screenshot of retention setting.</t>
  </si>
  <si>
    <t xml:space="preserve">Art 5(1)(e)</t>
  </si>
  <si>
    <t xml:space="preserve">A.5.34, A.8.10</t>
  </si>
  <si>
    <t xml:space="preserve">P4.2</t>
  </si>
  <si>
    <t xml:space="preserve">Retention enforced by the recorder; set once, verify quarterly.</t>
  </si>
  <si>
    <t xml:space="preserve">CV-05</t>
  </si>
  <si>
    <t xml:space="preserve">A legitimate-interest assessment (and DPIA if needed) and a record of processing exist for CCTV, access logs and the visitor log.</t>
  </si>
  <si>
    <t xml:space="preserve">These are the documents a DPA or a client's DPO will ask for first.</t>
  </si>
  <si>
    <t xml:space="preserve">Unable to justify the processing → order to stop + fine.</t>
  </si>
  <si>
    <t xml:space="preserve">Check the ROPA for entries on CCTV, access logs, visitor log.</t>
  </si>
  <si>
    <t xml:space="preserve">ROPA entries; LIA document.</t>
  </si>
  <si>
    <t xml:space="preserve">Art 6(1)(f), 30, 35</t>
  </si>
  <si>
    <t xml:space="preserve">Act 110/2019</t>
  </si>
  <si>
    <t xml:space="preserve">CV-06</t>
  </si>
  <si>
    <t xml:space="preserve">Only named people can view or export footage, and access is logged.</t>
  </si>
  <si>
    <t xml:space="preserve">Footage is personal data and can be misused.</t>
  </si>
  <si>
    <t xml:space="preserve">Footage leaked or used to track colleagues.</t>
  </si>
  <si>
    <t xml:space="preserve">Ask who can view footage and how.</t>
  </si>
  <si>
    <t xml:space="preserve">Access list; viewing log.</t>
  </si>
  <si>
    <t xml:space="preserve">A.5.15, A.8.15</t>
  </si>
  <si>
    <t xml:space="preserve">CC6.1</t>
  </si>
  <si>
    <t xml:space="preserve">CD-01</t>
  </si>
  <si>
    <t xml:space="preserve">Clean desk: no customer documents, passwords, post-its or notebooks with customer data left on desks.</t>
  </si>
  <si>
    <t xml:space="preserve">Visitors, cleaners and other tenants see whatever we leave out.</t>
  </si>
  <si>
    <t xml:space="preserve">Customer data photographed; passwords on post-its.</t>
  </si>
  <si>
    <t xml:space="preserve">Walk the office at end of day. Photograph anything sensitive left out (blur it).</t>
  </si>
  <si>
    <t xml:space="preserve">Dated walk-through photos; clear-desk rule.</t>
  </si>
  <si>
    <t xml:space="preserve">A.7.7</t>
  </si>
  <si>
    <t xml:space="preserve">C1.1</t>
  </si>
  <si>
    <t xml:space="preserve">CD-02</t>
  </si>
  <si>
    <t xml:space="preserve">Laptops lock automatically after a short idle time; enforced centrally.</t>
  </si>
  <si>
    <t xml:space="preserve">Unlocked laptops are open doors into customer systems.</t>
  </si>
  <si>
    <t xml:space="preserve">Anyone at an unattended laptop acts as us inside a customer's ERP.</t>
  </si>
  <si>
    <t xml:space="preserve">Ask IT for the MDM policy. Test: leave a laptop idle.</t>
  </si>
  <si>
    <t xml:space="preserve">MDM policy screenshot showing lock timeout.</t>
  </si>
  <si>
    <t xml:space="preserve">A.7.7, A.8.1</t>
  </si>
  <si>
    <t xml:space="preserve">Enforced by MDM; compliance report pulled automatically.</t>
  </si>
  <si>
    <t xml:space="preserve">CD-03</t>
  </si>
  <si>
    <t xml:space="preserve">Screens showing customer screen recordings or customer systems can't be seen from windows, corridors or shared areas; privacy filters where needed.</t>
  </si>
  <si>
    <t xml:space="preserve">Our product works with recordings of how customer employees do their jobs. That is their personal data and their business secrets.</t>
  </si>
  <si>
    <t xml:space="preserve">Customer data visible from the corridor or to another tenant.</t>
  </si>
  <si>
    <t xml:space="preserve">Stand at windows, doors and shared areas. Can you read any screen?</t>
  </si>
  <si>
    <t xml:space="preserve">Photos from viewpoints; seating plan noting privacy filters.</t>
  </si>
  <si>
    <t xml:space="preserve">A.7.7, A.7.8</t>
  </si>
  <si>
    <t xml:space="preserve">CD-04</t>
  </si>
  <si>
    <t xml:space="preserve">Whiteboards and meeting rooms are cleared after use. No customer names, pipeline or architecture left on walls.</t>
  </si>
  <si>
    <t xml:space="preserve">A visiting client must never see another client's name or data.</t>
  </si>
  <si>
    <t xml:space="preserve">Confidentiality breach in front of a client; lost deal.</t>
  </si>
  <si>
    <t xml:space="preserve">Check every meeting room and whiteboard.</t>
  </si>
  <si>
    <t xml:space="preserve">Photos of cleared rooms.</t>
  </si>
  <si>
    <t xml:space="preserve">Calendar automation sends 'wipe the board' reminder at meeting end.</t>
  </si>
  <si>
    <t xml:space="preserve">CD-05</t>
  </si>
  <si>
    <t xml:space="preserve">Meeting-room recording and AI note-takers are announced to attendees, and room devices aren't left recording.</t>
  </si>
  <si>
    <t xml:space="preserve">People have the right to know they are being recorded. Clients will ask.</t>
  </si>
  <si>
    <t xml:space="preserve">Recording a client without notice; recordings stored in unknown tools.</t>
  </si>
  <si>
    <t xml:space="preserve">Check room devices; ask which note-taker tools are used.</t>
  </si>
  <si>
    <t xml:space="preserve">Recording rule; tool list; example meeting notice.</t>
  </si>
  <si>
    <t xml:space="preserve">Art 6, Art 13</t>
  </si>
  <si>
    <t xml:space="preserve">AI Act Art 4 (staff literacy); ISO 42001 A.8</t>
  </si>
  <si>
    <t xml:space="preserve">Calendar invite template includes the recording notice automatically.</t>
  </si>
  <si>
    <t xml:space="preserve">CD-06</t>
  </si>
  <si>
    <t xml:space="preserve">Calls about customer matters happen in closed rooms or booths, not in open or shared areas.</t>
  </si>
  <si>
    <t xml:space="preserve">Our people and agents talk to suppliers, stores and customers by phone.</t>
  </si>
  <si>
    <t xml:space="preserve">Overheard customer details by another tenant or visitor.</t>
  </si>
  <si>
    <t xml:space="preserve">Observe for an hour. Are there booths? Are they used?</t>
  </si>
  <si>
    <t xml:space="preserve">Photo of booths; rule in onboarding.</t>
  </si>
  <si>
    <t xml:space="preserve">A.7.6</t>
  </si>
  <si>
    <t xml:space="preserve">CD-07</t>
  </si>
  <si>
    <t xml:space="preserve">Clean desk &amp; clear screen walk-around: unattended desks have no unlocked screens, open laptops, documents, post-its or badges left behind.</t>
  </si>
  <si>
    <t xml:space="preserve">Policies and MDM settings only count if people actually follow them. This is the check that proves it.</t>
  </si>
  <si>
    <t xml:space="preserve">An unattended unlocked laptop gives anyone passing by our access to customer systems; documents and badges left out can be taken or photographed.</t>
  </si>
  <si>
    <t xml:space="preserve">Twice a day (e.g., at lunch and after 18:00), walk every desk. For each unattended desk note: screen unlocked? laptop left open/unsecured? paper, post-its, notebooks, badge left out? Do not touch anything; photograph and blur.</t>
  </si>
  <si>
    <t xml:space="preserve">Dated walk-around sheet: number of desks checked, number with issues, blurred photos. Trend over time.</t>
  </si>
  <si>
    <t xml:space="preserve">C1.1, CC6.1</t>
  </si>
  <si>
    <t xml:space="preserve">MDM shows how many devices are below the lock-timeout policy; the human walk-around covers paper and behaviour. A friendly Slack nudge goes to desk owners with findings.</t>
  </si>
  <si>
    <t xml:space="preserve">NW-01</t>
  </si>
  <si>
    <t xml:space="preserve">Guest Wi-Fi is separate from the staff/corporate network.</t>
  </si>
  <si>
    <t xml:space="preserve">Visitors' devices must not reach our devices.</t>
  </si>
  <si>
    <t xml:space="preserve">Visitor's infected laptop scans and attacks our machines.</t>
  </si>
  <si>
    <t xml:space="preserve">Join guest Wi-Fi. Can you see staff devices or the printer?</t>
  </si>
  <si>
    <t xml:space="preserve">Network diagram; screenshot of VLAN/SSID config; test note.</t>
  </si>
  <si>
    <t xml:space="preserve">A.8.20, A.8.22</t>
  </si>
  <si>
    <t xml:space="preserve">CC6.6</t>
  </si>
  <si>
    <t xml:space="preserve">NW-02</t>
  </si>
  <si>
    <t xml:space="preserve">Wi-Fi uses strong encryption; the guest password rotates and is not written on the wall.</t>
  </si>
  <si>
    <t xml:space="preserve">A password on the wall belongs to everyone in the building.</t>
  </si>
  <si>
    <t xml:space="preserve">Other tenants and passers-by on our network.</t>
  </si>
  <si>
    <t xml:space="preserve">Look for written passwords. Check Wi-Fi security type.</t>
  </si>
  <si>
    <t xml:space="preserve">Router config screenshot; rotation evidence.</t>
  </si>
  <si>
    <t xml:space="preserve">A.8.20</t>
  </si>
  <si>
    <t xml:space="preserve">Art 21(2)(g), (h)</t>
  </si>
  <si>
    <t xml:space="preserve">Guest password auto-rotates weekly and is shown only on the check-in screen.</t>
  </si>
  <si>
    <t xml:space="preserve">NW-03</t>
  </si>
  <si>
    <t xml:space="preserve">Office network equipment has default passwords changed, current firmware, and a named owner (us or landlord).</t>
  </si>
  <si>
    <t xml:space="preserve">Default router passwords are publicly known.</t>
  </si>
  <si>
    <t xml:space="preserve">Network takeover from inside the building.</t>
  </si>
  <si>
    <t xml:space="preserve">Ask who manages the router/switch/APs. Check firmware date.</t>
  </si>
  <si>
    <t xml:space="preserve">Asset entry with owner; firmware version; admin account list.</t>
  </si>
  <si>
    <t xml:space="preserve">A.5.9, A.8.9, A.8.20</t>
  </si>
  <si>
    <t xml:space="preserve">CC6.1, CC7.1</t>
  </si>
  <si>
    <t xml:space="preserve">Art 21(2)(e), (g)</t>
  </si>
  <si>
    <t xml:space="preserve">Firmware status monitored by the network vendor console.</t>
  </si>
  <si>
    <t xml:space="preserve">NW-04</t>
  </si>
  <si>
    <t xml:space="preserve">Live network ports in reception and meeting rooms are disabled or protected.</t>
  </si>
  <si>
    <t xml:space="preserve">A free port in a meeting room is a free entry point.</t>
  </si>
  <si>
    <t xml:space="preserve">Visitor plugs in a device and gets internal access.</t>
  </si>
  <si>
    <t xml:space="preserve">Find wall ports in public rooms. Plug in a laptop: do you get an address?</t>
  </si>
  <si>
    <t xml:space="preserve">Port list; switch config.</t>
  </si>
  <si>
    <t xml:space="preserve">A.8.20, A.7.12</t>
  </si>
  <si>
    <t xml:space="preserve">NW-05</t>
  </si>
  <si>
    <t xml:space="preserve">Office network is treated as untrusted: staff reach company systems the same way as from home (SSO, MFA, VPN/ZTNA).</t>
  </si>
  <si>
    <t xml:space="preserve">We are remote-first. The office should be just another location, not a trusted zone.</t>
  </si>
  <si>
    <t xml:space="preserve">Compromise of the building network gives an attacker a shortcut into our systems.</t>
  </si>
  <si>
    <t xml:space="preserve">Ask IT whether any system is accessible only from the office IP.</t>
  </si>
  <si>
    <t xml:space="preserve">IT statement; list of IP allow-lists (should be none for the office).</t>
  </si>
  <si>
    <t xml:space="preserve">A.8.20, A.8.5</t>
  </si>
  <si>
    <t xml:space="preserve">CC6.1, CC6.6</t>
  </si>
  <si>
    <t xml:space="preserve">Art 21(2)(j)</t>
  </si>
  <si>
    <t xml:space="preserve">DV-01</t>
  </si>
  <si>
    <t xml:space="preserve">All equipment in the office (laptops, monitors, docks, printers, TVs, IoT) is in the asset inventory with an owner.</t>
  </si>
  <si>
    <t xml:space="preserve">You can't protect what you don't know you have.</t>
  </si>
  <si>
    <t xml:space="preserve">Lost or stolen kit goes unnoticed.</t>
  </si>
  <si>
    <t xml:space="preserve">Count kit on site; compare with inventory.</t>
  </si>
  <si>
    <t xml:space="preserve">Inventory extract for Prague.</t>
  </si>
  <si>
    <t xml:space="preserve">A.5.9</t>
  </si>
  <si>
    <t xml:space="preserve">MDM auto-populates laptops; non-MDM kit added at delivery.</t>
  </si>
  <si>
    <t xml:space="preserve">DV-02</t>
  </si>
  <si>
    <t xml:space="preserve">Printers use secure release (print only when you badge in), admin password changed, and scan-to-email locked down.</t>
  </si>
  <si>
    <t xml:space="preserve">Printouts left on a tray are the most common office leak.</t>
  </si>
  <si>
    <t xml:space="preserve">Customer documents left in the printer tray for anyone to take.</t>
  </si>
  <si>
    <t xml:space="preserve">Print something. Does it wait for you? Check the tray for left prints.</t>
  </si>
  <si>
    <t xml:space="preserve">Printer config screenshot; photo of empty tray.</t>
  </si>
  <si>
    <t xml:space="preserve">A.7.7, A.8.9</t>
  </si>
  <si>
    <t xml:space="preserve">DV-03</t>
  </si>
  <si>
    <t xml:space="preserve">Smart devices (TVs, conference systems, speakers, smart locks) are on an isolated network with accounts owned by Duvo.</t>
  </si>
  <si>
    <t xml:space="preserve">IoT devices are rarely patched and often have default passwords.</t>
  </si>
  <si>
    <t xml:space="preserve">Conference camera or TV used to spy on meetings or as a foothold.</t>
  </si>
  <si>
    <t xml:space="preserve">List smart devices; check network and account owner.</t>
  </si>
  <si>
    <t xml:space="preserve">Device list with network segment and owner.</t>
  </si>
  <si>
    <t xml:space="preserve">Art 21(2)(e)</t>
  </si>
  <si>
    <t xml:space="preserve">DV-04</t>
  </si>
  <si>
    <t xml:space="preserve">Spare and loaner laptops are encrypted, enrolled in MDM and stored locked.</t>
  </si>
  <si>
    <t xml:space="preserve">Spare laptops are often forgotten and unencrypted.</t>
  </si>
  <si>
    <t xml:space="preserve">Theft of a spare laptop with old data on it.</t>
  </si>
  <si>
    <t xml:space="preserve">Find spare kit; check storage and MDM status.</t>
  </si>
  <si>
    <t xml:space="preserve">MDM compliance report; photo of locked storage.</t>
  </si>
  <si>
    <t xml:space="preserve">A.7.9, A.7.10, A.8.1</t>
  </si>
  <si>
    <t xml:space="preserve">CC6.1, CC6.7</t>
  </si>
  <si>
    <t xml:space="preserve">Art 21(2)(h)</t>
  </si>
  <si>
    <t xml:space="preserve">MDM reports encryption status automatically.</t>
  </si>
  <si>
    <t xml:space="preserve">DS-01</t>
  </si>
  <si>
    <t xml:space="preserve">Locked confidential-waste bins or a shredder are available, and they are used.</t>
  </si>
  <si>
    <t xml:space="preserve">Paper in the normal bin is public.</t>
  </si>
  <si>
    <t xml:space="preserve">Customer documents recovered from rubbish.</t>
  </si>
  <si>
    <t xml:space="preserve">Look for bins. Check the paper recycling for sensitive paper.</t>
  </si>
  <si>
    <t xml:space="preserve">Photo of bin; shredding vendor certificate.</t>
  </si>
  <si>
    <t xml:space="preserve">A.7.14</t>
  </si>
  <si>
    <t xml:space="preserve">CC6.5, C1.2</t>
  </si>
  <si>
    <t xml:space="preserve">DS-02</t>
  </si>
  <si>
    <t xml:space="preserve">Old laptops, drives and phones are wiped or destroyed with a certificate, and handed to an authorised e-waste take-back.</t>
  </si>
  <si>
    <t xml:space="preserve">Deleted ≠ gone.</t>
  </si>
  <si>
    <t xml:space="preserve">Customer data recovered from a disposed laptop.</t>
  </si>
  <si>
    <t xml:space="preserve">Ask what happened to the last disposed device.</t>
  </si>
  <si>
    <t xml:space="preserve">Certificate of data destruction; e-waste handover record.</t>
  </si>
  <si>
    <t xml:space="preserve">Act 542/2020 (end-of-life products / WEEE)</t>
  </si>
  <si>
    <t xml:space="preserve">A.7.14, A.8.10</t>
  </si>
  <si>
    <t xml:space="preserve">CC6.5</t>
  </si>
  <si>
    <t xml:space="preserve">MDM remote wipe triggered when a device is marked 'to dispose'.</t>
  </si>
  <si>
    <t xml:space="preserve">HS-01</t>
  </si>
  <si>
    <t xml:space="preserve">A written workplace risk assessment exists for the new Prague office.</t>
  </si>
  <si>
    <t xml:space="preserve">Mandatory for every employer in Czechia. It's the base document for everything else in safety.</t>
  </si>
  <si>
    <t xml:space="preserve">Labour inspectorate fine; liability if someone is injured.</t>
  </si>
  <si>
    <t xml:space="preserve">Ask HR/OZO for the risk assessment dated after the move.</t>
  </si>
  <si>
    <t xml:space="preserve">Signed risk assessment for this address.</t>
  </si>
  <si>
    <t xml:space="preserve">Labour Code §102; Act 309/2006</t>
  </si>
  <si>
    <t xml:space="preserve">A.7.5 (environmental threats)</t>
  </si>
  <si>
    <t xml:space="preserve">A1.2</t>
  </si>
  <si>
    <t xml:space="preserve">HS-02</t>
  </si>
  <si>
    <t xml:space="preserve">Duvo has a competent H&amp;S person (OZO, internal or external) appointed.</t>
  </si>
  <si>
    <t xml:space="preserve">Czech law requires a qualified person to support the employer on safety.</t>
  </si>
  <si>
    <t xml:space="preserve">No one competent to run safety; inspection fine.</t>
  </si>
  <si>
    <t xml:space="preserve">Ask who the OZO is; get the contract.</t>
  </si>
  <si>
    <t xml:space="preserve">OZO contract or appointment.</t>
  </si>
  <si>
    <t xml:space="preserve">Act 309/2006 §9</t>
  </si>
  <si>
    <t xml:space="preserve">A.5.2</t>
  </si>
  <si>
    <t xml:space="preserve">CC1.3</t>
  </si>
  <si>
    <t xml:space="preserve">HS-03</t>
  </si>
  <si>
    <t xml:space="preserve">Every employee working in the office has received H&amp;S training, and it's recorded.</t>
  </si>
  <si>
    <t xml:space="preserve">Required at onboarding and when the workplace changes (like a new office).</t>
  </si>
  <si>
    <t xml:space="preserve">Injury + no training record = employer liability.</t>
  </si>
  <si>
    <t xml:space="preserve">Check training records for Prague staff since the move.</t>
  </si>
  <si>
    <t xml:space="preserve">Signed/recorded training list.</t>
  </si>
  <si>
    <t xml:space="preserve">Labour Code §103</t>
  </si>
  <si>
    <t xml:space="preserve">A.6.3</t>
  </si>
  <si>
    <t xml:space="preserve">CC1.4</t>
  </si>
  <si>
    <t xml:space="preserve">LMS module assigned automatically on 'works from Prague office' flag; badge gate (BD-01) checks it.</t>
  </si>
  <si>
    <t xml:space="preserve">HS-04</t>
  </si>
  <si>
    <t xml:space="preserve">First-aid kit is stocked and visible; people know who to call.</t>
  </si>
  <si>
    <t xml:space="preserve">Basic duty of care.</t>
  </si>
  <si>
    <t xml:space="preserve">Delay in first aid.</t>
  </si>
  <si>
    <t xml:space="preserve">Find the kit; check contents and expiry dates.</t>
  </si>
  <si>
    <t xml:space="preserve">Photo of kit; contents checklist with date.</t>
  </si>
  <si>
    <t xml:space="preserve">Labour Code §102</t>
  </si>
  <si>
    <t xml:space="preserve">Calendar reminder every 6 months to check expiry dates.</t>
  </si>
  <si>
    <t xml:space="preserve">HS-05</t>
  </si>
  <si>
    <t xml:space="preserve">There is an injury log book and people know to report injuries.</t>
  </si>
  <si>
    <t xml:space="preserve">Mandatory record, even for minor injuries.</t>
  </si>
  <si>
    <t xml:space="preserve">Unrecorded injury; fine; disputed claims.</t>
  </si>
  <si>
    <t xml:space="preserve">Ask where the injury book (kniha úrazů) is.</t>
  </si>
  <si>
    <t xml:space="preserve">Photo of the book or digital log.</t>
  </si>
  <si>
    <t xml:space="preserve">Labour Code §105; Gov. Decree 201/2010</t>
  </si>
  <si>
    <t xml:space="preserve">HS-06</t>
  </si>
  <si>
    <t xml:space="preserve">Lighting, temperature, ventilation and desk/screen ergonomics are adequate.</t>
  </si>
  <si>
    <t xml:space="preserve">Czech workplace hygiene rules set minimums for screen work.</t>
  </si>
  <si>
    <t xml:space="preserve">Health complaints; inspection findings.</t>
  </si>
  <si>
    <t xml:space="preserve">Walk the office; ask staff about temperature, glare, chairs.</t>
  </si>
  <si>
    <t xml:space="preserve">Short checklist; OZO note.</t>
  </si>
  <si>
    <t xml:space="preserve">Gov. Decree 361/2007</t>
  </si>
  <si>
    <t xml:space="preserve">HS-07</t>
  </si>
  <si>
    <t xml:space="preserve">Electrical installation and appliances (kettles, chargers, monitors, extension leads) have valid inspections (revize), with records.</t>
  </si>
  <si>
    <t xml:space="preserve">Often forgotten after a move; a common fire cause.</t>
  </si>
  <si>
    <t xml:space="preserve">Electrical fire; insurance refusal.</t>
  </si>
  <si>
    <t xml:space="preserve">Ask landlord for the fixed-installation inspection report; ask who inspects our appliances.</t>
  </si>
  <si>
    <t xml:space="preserve">Inspection reports with dates.</t>
  </si>
  <si>
    <t xml:space="preserve">Act 309/2006 §4; ČSN 33 1500 / 33 1600</t>
  </si>
  <si>
    <t xml:space="preserve">A.7.11, A.7.13</t>
  </si>
  <si>
    <t xml:space="preserve">Art 21(2)(c)</t>
  </si>
  <si>
    <t xml:space="preserve">Inspection due dates in a shared calendar with automatic reminders.</t>
  </si>
  <si>
    <t xml:space="preserve">FR-01</t>
  </si>
  <si>
    <t xml:space="preserve">Fire-protection documentation exists for our activity category, and responsibilities between Duvo and landlord are clear.</t>
  </si>
  <si>
    <t xml:space="preserve">Fire law applies to every company with premises.</t>
  </si>
  <si>
    <t xml:space="preserve">Fine; uninsured damage.</t>
  </si>
  <si>
    <t xml:space="preserve">Ask landlord and OZO for fire documentation and the split of duties.</t>
  </si>
  <si>
    <t xml:space="preserve">Fire documentation; landlord responsibility statement.</t>
  </si>
  <si>
    <t xml:space="preserve">Act 133/1985; Decree 246/2001</t>
  </si>
  <si>
    <t xml:space="preserve">A.7.5</t>
  </si>
  <si>
    <t xml:space="preserve">FR-02</t>
  </si>
  <si>
    <t xml:space="preserve">Extinguishers are present, accessible and inspected at least yearly.</t>
  </si>
  <si>
    <t xml:space="preserve">Legal requirement; first defence.</t>
  </si>
  <si>
    <t xml:space="preserve">Unusable extinguisher in a fire.</t>
  </si>
  <si>
    <t xml:space="preserve">Check each extinguisher tag date.</t>
  </si>
  <si>
    <t xml:space="preserve">Photo of tags.</t>
  </si>
  <si>
    <t xml:space="preserve">Decree 246/2001</t>
  </si>
  <si>
    <t xml:space="preserve">Inspection due date in the shared calendar.</t>
  </si>
  <si>
    <t xml:space="preserve">FR-03</t>
  </si>
  <si>
    <t xml:space="preserve">Escape routes are marked, never blocked, and emergency lighting works.</t>
  </si>
  <si>
    <t xml:space="preserve">People need to get out in the dark and in smoke.</t>
  </si>
  <si>
    <t xml:space="preserve">Blocked exit in an emergency.</t>
  </si>
  <si>
    <t xml:space="preserve">Walk escape routes. Anything stored in them?</t>
  </si>
  <si>
    <t xml:space="preserve">Photos of routes and signs.</t>
  </si>
  <si>
    <t xml:space="preserve">Act 133/1985</t>
  </si>
  <si>
    <t xml:space="preserve">FR-04</t>
  </si>
  <si>
    <t xml:space="preserve">An evacuation plan and assembly point are posted, and visitors are told; the visitor log is used for headcount.</t>
  </si>
  <si>
    <t xml:space="preserve">Visitors don't know the building.</t>
  </si>
  <si>
    <t xml:space="preserve">Visitor left behind in an evacuation.</t>
  </si>
  <si>
    <t xml:space="preserve">Find the evacuation plan. Ask a visitor if they were told the assembly point.</t>
  </si>
  <si>
    <t xml:space="preserve">Photo of plan; visitor briefing line in the check-in flow.</t>
  </si>
  <si>
    <t xml:space="preserve">Assembly point shown on the check-in screen; live visitor list exportable to phone for headcount.</t>
  </si>
  <si>
    <t xml:space="preserve">FR-05</t>
  </si>
  <si>
    <t xml:space="preserve">Staff have received fire-safety training, and it's recorded.</t>
  </si>
  <si>
    <t xml:space="preserve">Legal requirement alongside H&amp;S training.</t>
  </si>
  <si>
    <t xml:space="preserve">Panic and injury; fine.</t>
  </si>
  <si>
    <t xml:space="preserve">Check training records.</t>
  </si>
  <si>
    <t xml:space="preserve">Training record.</t>
  </si>
  <si>
    <t xml:space="preserve">Bundled into the H&amp;S LMS module (HS-03).</t>
  </si>
  <si>
    <t xml:space="preserve">PL-01</t>
  </si>
  <si>
    <t xml:space="preserve">If the Czech employer has 50+ employees, an internal whistleblowing channel and a designated person exist.</t>
  </si>
  <si>
    <t xml:space="preserve">Legal obligation above the threshold; also expected by enterprise customers.</t>
  </si>
  <si>
    <t xml:space="preserve">Fine; whistleblower goes external first.</t>
  </si>
  <si>
    <t xml:space="preserve">Confirm Czech entity headcount (average). If ≥50, check the channel.</t>
  </si>
  <si>
    <t xml:space="preserve">Headcount; channel description; designated person.</t>
  </si>
  <si>
    <t xml:space="preserve">Art 32 (reports contain personal data)</t>
  </si>
  <si>
    <t xml:space="preserve">Act 171/2023 (applies from 50 employees)</t>
  </si>
  <si>
    <t xml:space="preserve">A.5.31, A.6.8</t>
  </si>
  <si>
    <t xml:space="preserve">CC2.3</t>
  </si>
  <si>
    <t xml:space="preserve">Use a whistleblowing tool with anonymous intake and statutory deadline tracking.</t>
  </si>
  <si>
    <t xml:space="preserve">PL-02</t>
  </si>
  <si>
    <t xml:space="preserve">If the Czech employer has 25+ employees, the disability employment quota is met (employment, purchase of products/services, or levy) and reported annually.</t>
  </si>
  <si>
    <t xml:space="preserve">Often missed by fast-growing startups.</t>
  </si>
  <si>
    <t xml:space="preserve">Levy and fine.</t>
  </si>
  <si>
    <t xml:space="preserve">Confirm average headcount; ask HR/payroll how the quota is handled.</t>
  </si>
  <si>
    <t xml:space="preserve">Annual quota report.</t>
  </si>
  <si>
    <t xml:space="preserve">Act 435/2004</t>
  </si>
  <si>
    <t xml:space="preserve">A.5.31</t>
  </si>
  <si>
    <t xml:space="preserve">PL-03</t>
  </si>
  <si>
    <t xml:space="preserve">Employees are told in writing what is monitored at the office (access logs, CCTV, Wi-Fi) and why.</t>
  </si>
  <si>
    <t xml:space="preserve">Czech labour law requires informing employees about monitoring.</t>
  </si>
  <si>
    <t xml:space="preserve">Unlawful monitoring; works council/union or inspection complaint.</t>
  </si>
  <si>
    <t xml:space="preserve">Check the employee notice / handbook.</t>
  </si>
  <si>
    <t xml:space="preserve">Employee privacy notice section; acknowledgement.</t>
  </si>
  <si>
    <t xml:space="preserve">Notice included in onboarding acknowledgement (BD-01 gate).</t>
  </si>
  <si>
    <t xml:space="preserve">PL-04</t>
  </si>
  <si>
    <t xml:space="preserve">Everyone with a badge has signed confidentiality terms and acknowledged the acceptable-use and security policies.</t>
  </si>
  <si>
    <t xml:space="preserve">Customers will ask for this evidence for every person who touches their data.</t>
  </si>
  <si>
    <t xml:space="preserve">No legal basis to act against a leak.</t>
  </si>
  <si>
    <t xml:space="preserve">Sample 5 badge holders; find their signed documents.</t>
  </si>
  <si>
    <t xml:space="preserve">Signed NDA/contract clause + policy acknowledgement per person.</t>
  </si>
  <si>
    <t xml:space="preserve">Art 28(3)(b), Art 32(4)</t>
  </si>
  <si>
    <t xml:space="preserve">Labour Code (confidentiality in contract)</t>
  </si>
  <si>
    <t xml:space="preserve">A.6.2, A.6.6, A.5.10</t>
  </si>
  <si>
    <t xml:space="preserve">CC1.1, CC2.2</t>
  </si>
  <si>
    <t xml:space="preserve">Part of the badge activation gate (BD-01).</t>
  </si>
  <si>
    <t xml:space="preserve">PL-05</t>
  </si>
  <si>
    <t xml:space="preserve">Annual security awareness training covers physical security, social engineering and AI use; completion is tracked.</t>
  </si>
  <si>
    <t xml:space="preserve">NIS2 supply-chain clauses and customers ask for proof of training. AI literacy is a legal duty for AI providers.</t>
  </si>
  <si>
    <t xml:space="preserve">Staff fall for tailgating or pretexting; AI tools misused with customer data.</t>
  </si>
  <si>
    <t xml:space="preserve">Check LMS completion for Prague staff.</t>
  </si>
  <si>
    <t xml:space="preserve">Completion report; training content outline.</t>
  </si>
  <si>
    <t xml:space="preserve">Art 32(4), Art 39</t>
  </si>
  <si>
    <t xml:space="preserve">Art 21(2)(g), Art 20(2)</t>
  </si>
  <si>
    <t xml:space="preserve">AI Act Art 4; ISO 42001 A.4</t>
  </si>
  <si>
    <t xml:space="preserve">LMS assigns and chases automatically; report exported quarterly.</t>
  </si>
  <si>
    <t xml:space="preserve">PL-06</t>
  </si>
  <si>
    <t xml:space="preserve">Office-related processing (visitor log, access logs, CCTV, Wi-Fi logs) is in the record of processing activities.</t>
  </si>
  <si>
    <t xml:space="preserve">First document a client DPO or the DPA asks for.</t>
  </si>
  <si>
    <t xml:space="preserve">Unable to show accountability.</t>
  </si>
  <si>
    <t xml:space="preserve">Check ROPA.</t>
  </si>
  <si>
    <t xml:space="preserve">ROPA entries.</t>
  </si>
  <si>
    <t xml:space="preserve">Art 30, Art 5(2)</t>
  </si>
  <si>
    <t xml:space="preserve">PL-07</t>
  </si>
  <si>
    <t xml:space="preserve">Pre-employment checks are done to the level allowed by Czech law and proportionate to the role.</t>
  </si>
  <si>
    <t xml:space="preserve">Bank and critical-entity customers often require screening for people accessing their data.</t>
  </si>
  <si>
    <t xml:space="preserve">Customer contract breach; insider risk.</t>
  </si>
  <si>
    <t xml:space="preserve">Ask HR what checks are done and for which roles.</t>
  </si>
  <si>
    <t xml:space="preserve">Screening policy; per-role matrix.</t>
  </si>
  <si>
    <t xml:space="preserve">Art 6, Art 10</t>
  </si>
  <si>
    <t xml:space="preserve">Labour Code §316(4) (limits on what employer may ask)</t>
  </si>
  <si>
    <t xml:space="preserve">A.6.1</t>
  </si>
  <si>
    <t xml:space="preserve">TN-01</t>
  </si>
  <si>
    <t xml:space="preserve">A responsibility matrix with the landlord exists: access system, reception, CCTV, fire, cleaning, network, utilities.</t>
  </si>
  <si>
    <t xml:space="preserve">In a new office, everyone assumes someone else does it.</t>
  </si>
  <si>
    <t xml:space="preserve">Gaps nobody owns (e.g., CCTV retention, fire inspections).</t>
  </si>
  <si>
    <t xml:space="preserve">Go through the lease/building rules; fill the matrix with the facility manager.</t>
  </si>
  <si>
    <t xml:space="preserve">Signed or agreed matrix.</t>
  </si>
  <si>
    <t xml:space="preserve">Art 26 / 28 (if landlord processes our people's data)</t>
  </si>
  <si>
    <t xml:space="preserve">A.5.19, A.5.20, A.7.1</t>
  </si>
  <si>
    <t xml:space="preserve">TN-02</t>
  </si>
  <si>
    <t xml:space="preserve">Shared spaces (reception, kitchen, shared meeting rooms) are treated as public: no confidential material or conversations.</t>
  </si>
  <si>
    <t xml:space="preserve">Other tenants are strangers.</t>
  </si>
  <si>
    <t xml:space="preserve">Competitor or another tenant overhears or sees customer details.</t>
  </si>
  <si>
    <t xml:space="preserve">Identify shared spaces. Check for left material.</t>
  </si>
  <si>
    <t xml:space="preserve">Floor plan marking shared areas; rule in onboarding.</t>
  </si>
  <si>
    <t xml:space="preserve">A.7.1, A.7.6</t>
  </si>
  <si>
    <t xml:space="preserve">TN-03</t>
  </si>
  <si>
    <t xml:space="preserve">Building services vendors (cleaning, maintenance, security guard) have confidentiality obligations and controlled keys.</t>
  </si>
  <si>
    <t xml:space="preserve">They are inside our office when we are not.</t>
  </si>
  <si>
    <t xml:space="preserve">Theft or snooping out of hours.</t>
  </si>
  <si>
    <t xml:space="preserve">Ask for the vendor contracts (via landlord if needed).</t>
  </si>
  <si>
    <t xml:space="preserve">Contract clause; key/badge list for vendors.</t>
  </si>
  <si>
    <t xml:space="preserve">Art 28 (if applicable)</t>
  </si>
  <si>
    <t xml:space="preserve">A.5.19, A.5.20</t>
  </si>
  <si>
    <t xml:space="preserve">AR-01</t>
  </si>
  <si>
    <t xml:space="preserve">A named Prague office security owner and a deputy exist.</t>
  </si>
  <si>
    <t xml:space="preserve">Remote-first means someone local must own the office.</t>
  </si>
  <si>
    <t xml:space="preserve">Nobody runs checks; issues aren't fixed.</t>
  </si>
  <si>
    <t xml:space="preserve">Confirm names.</t>
  </si>
  <si>
    <t xml:space="preserve">Named owner in the RACI / this sheet's Owner column.</t>
  </si>
  <si>
    <t xml:space="preserve">Art 20 / Art 21(2)(a)</t>
  </si>
  <si>
    <t xml:space="preserve">AR-02</t>
  </si>
  <si>
    <t xml:space="preserve">This self-audit runs quarterly and after any office change; results and fixes are tracked.</t>
  </si>
  <si>
    <t xml:space="preserve">Shows the control is operating over time, which SOC 2 Type II and customer audits test.</t>
  </si>
  <si>
    <t xml:space="preserve">Controls decay unnoticed between audits.</t>
  </si>
  <si>
    <t xml:space="preserve">Check the last completed run and open actions.</t>
  </si>
  <si>
    <t xml:space="preserve">Dated completed checklists; action tracker.</t>
  </si>
  <si>
    <t xml:space="preserve">Art 32(1)(d)</t>
  </si>
  <si>
    <t xml:space="preserve">Clause 9.1, 9.2; A.5.35</t>
  </si>
  <si>
    <t xml:space="preserve">CC4.1</t>
  </si>
  <si>
    <t xml:space="preserve">Art 21(2)(f)</t>
  </si>
  <si>
    <t xml:space="preserve">Recurring task assigned to the office owner; app records results; overdue → escalation.</t>
  </si>
  <si>
    <t xml:space="preserve">AR-03</t>
  </si>
  <si>
    <t xml:space="preserve">A client-visit evidence pack is ready: certifications or roadmap, key policies, this office's latest audit results, contact for security questions.</t>
  </si>
  <si>
    <t xml:space="preserve">Bank and critical-entity customers (NIS2/DORA flow-down) may audit us on site at short notice.</t>
  </si>
  <si>
    <t xml:space="preserve">We look unprepared in front of a regulated customer.</t>
  </si>
  <si>
    <t xml:space="preserve">Check the pack exists and is current (&lt; 3 months).</t>
  </si>
  <si>
    <t xml:space="preserve">Pack index with dates.</t>
  </si>
  <si>
    <t xml:space="preserve">A.5.31, A.5.36</t>
  </si>
  <si>
    <t xml:space="preserve">Pack auto-assembled from the document repository; freshness flagged.</t>
  </si>
  <si>
    <t xml:space="preserve">AR-04</t>
  </si>
  <si>
    <t xml:space="preserve">A quick pre-visit check (the 'Client visit' tab) is run within 24 h before every client or auditor visit.</t>
  </si>
  <si>
    <t xml:space="preserve">First impressions are evidence.</t>
  </si>
  <si>
    <t xml:space="preserve">Other clients' names on whiteboards; visitor not logged; open doors.</t>
  </si>
  <si>
    <t xml:space="preserve">Check the record for the last client visit.</t>
  </si>
  <si>
    <t xml:space="preserve">Completed 'Client visit' checklist dated before the visit.</t>
  </si>
  <si>
    <t xml:space="preserve">A.5.35</t>
  </si>
  <si>
    <t xml:space="preserve">Calendar event with an external client domain → checklist automatically sent to the office owner 24 h before.</t>
  </si>
  <si>
    <t xml:space="preserve">AR-05</t>
  </si>
  <si>
    <t xml:space="preserve">A legal and regulatory register covering the office (Czech law + frameworks) is kept and reviewed yearly.</t>
  </si>
  <si>
    <t xml:space="preserve">Shows we know what applies to us; required by ISO.</t>
  </si>
  <si>
    <t xml:space="preserve">Missed legal obligations after growth (thresholds crossed).</t>
  </si>
  <si>
    <t xml:space="preserve">Check the 'Regulatory scope' tab is reviewed and dated.</t>
  </si>
  <si>
    <t xml:space="preserve">Dated register.</t>
  </si>
  <si>
    <t xml:space="preserve">Art 5(2)</t>
  </si>
  <si>
    <t xml:space="preserve">CC3.1</t>
  </si>
  <si>
    <t xml:space="preserve">Art 21(2)(a)</t>
  </si>
  <si>
    <t xml:space="preserve">Headcount thresholds (25 / 50) monitored from HR system; alert when crossed.</t>
  </si>
  <si>
    <t xml:space="preserve">IR-01</t>
  </si>
  <si>
    <t xml:space="preserve">Everyone knows how to report a physical security event (stranger, break-in, lost laptop/badge) and it's posted in the office.</t>
  </si>
  <si>
    <t xml:space="preserve">Fast reporting limits damage and meets breach deadlines.</t>
  </si>
  <si>
    <t xml:space="preserve">Lost laptop reported days later; 72 h GDPR breach clock missed.</t>
  </si>
  <si>
    <t xml:space="preserve">Ask 2 people how they'd report a lost laptop. Look for the notice.</t>
  </si>
  <si>
    <t xml:space="preserve">Poster photo; incident procedure.</t>
  </si>
  <si>
    <t xml:space="preserve">Art 33, 34</t>
  </si>
  <si>
    <t xml:space="preserve">A.5.24, A.6.8</t>
  </si>
  <si>
    <t xml:space="preserve">CC7.3, CC7.4</t>
  </si>
  <si>
    <t xml:space="preserve">Art 21(2)(b), Art 23</t>
  </si>
  <si>
    <t xml:space="preserve">Single Slack shortcut / form routes to security and opens the incident record.</t>
  </si>
  <si>
    <t xml:space="preserve">IR-02</t>
  </si>
  <si>
    <t xml:space="preserve">If the office is unusable, everyone can work remotely with no loss of service, and this is documented.</t>
  </si>
  <si>
    <t xml:space="preserve">Our strength as remote-first, but it must be written down to count as evidence.</t>
  </si>
  <si>
    <t xml:space="preserve">Customer asks for continuity evidence and we have none.</t>
  </si>
  <si>
    <t xml:space="preserve">Check BCP mentions the office and the remote fallback.</t>
  </si>
  <si>
    <t xml:space="preserve">BCP section; last test date.</t>
  </si>
  <si>
    <t xml:space="preserve">Art 32(1)(b), (c)</t>
  </si>
  <si>
    <t xml:space="preserve">A.5.29, A.5.30</t>
  </si>
  <si>
    <t xml:space="preserve">A1.2, CC9.1</t>
  </si>
  <si>
    <t xml:space="preserve">Client-visit quick check — run within 24 h before any client or auditor visit</t>
  </si>
  <si>
    <t xml:space="preserve">Visit date:</t>
  </si>
  <si>
    <t xml:space="preserve">Client:</t>
  </si>
  <si>
    <t xml:space="preserve">Checked by:</t>
  </si>
  <si>
    <t xml:space="preserve">Control (from Controls tab)</t>
  </si>
  <si>
    <t xml:space="preserve">How to check</t>
  </si>
  <si>
    <t xml:space="preserve">Quick result</t>
  </si>
  <si>
    <t xml:space="preserve">Note</t>
  </si>
  <si>
    <t xml:space="preserve">Latest full-audit status</t>
  </si>
  <si>
    <t xml:space="preserve">Framework / law</t>
  </si>
  <si>
    <t xml:space="preserve">Applies to Duvo?</t>
  </si>
  <si>
    <t xml:space="preserve">Why / how</t>
  </si>
  <si>
    <t xml:space="preserve">Office relevance</t>
  </si>
  <si>
    <t xml:space="preserve">GDPR (EU 2016/679)</t>
  </si>
  <si>
    <t xml:space="preserve">Yes – direct</t>
  </si>
  <si>
    <t xml:space="preserve">Duvo processes staff, visitor and customer-employee data (incl. screen recordings).</t>
  </si>
  <si>
    <t xml:space="preserve">Visitor log, access logs, CCTV, clear desk/screen.</t>
  </si>
  <si>
    <t xml:space="preserve">CZ Act 110/2019 (personal data processing)</t>
  </si>
  <si>
    <t xml:space="preserve">Czech implementing act for GDPR.</t>
  </si>
  <si>
    <t xml:space="preserve">Same as GDPR.</t>
  </si>
  <si>
    <t xml:space="preserve">CZ Labour Code 262/2006 (H&amp;S §101–108; monitoring §316)</t>
  </si>
  <si>
    <t xml:space="preserve">Applies to employees working in Czechia.</t>
  </si>
  <si>
    <t xml:space="preserve">Risk assessment, training, injury book, employee monitoring limits.</t>
  </si>
  <si>
    <t xml:space="preserve">CZ Act 309/2006 (additional H&amp;S requirements)</t>
  </si>
  <si>
    <t xml:space="preserve">Competent person (OZO), electrical safety.</t>
  </si>
  <si>
    <t xml:space="preserve">OZO, inspections.</t>
  </si>
  <si>
    <t xml:space="preserve">CZ Gov. Decree 361/2007 (workplace hygiene)</t>
  </si>
  <si>
    <t xml:space="preserve">Minimum conditions for workplaces and screen work.</t>
  </si>
  <si>
    <t xml:space="preserve">Lighting, temperature, ergonomics.</t>
  </si>
  <si>
    <t xml:space="preserve">CZ Act 133/1985 + Decree 246/2001 (fire protection)</t>
  </si>
  <si>
    <t xml:space="preserve">Every company with premises.</t>
  </si>
  <si>
    <t xml:space="preserve">Extinguishers, escape routes, fire training.</t>
  </si>
  <si>
    <t xml:space="preserve">CZ Act 171/2023 (whistleblower protection)</t>
  </si>
  <si>
    <t xml:space="preserve">Conditional</t>
  </si>
  <si>
    <t xml:space="preserve">Internal channel mandatory from 50 employees.</t>
  </si>
  <si>
    <t xml:space="preserve">Channel, designated person.</t>
  </si>
  <si>
    <t xml:space="preserve">Confirm Czech entity headcount.</t>
  </si>
  <si>
    <t xml:space="preserve">CZ Act 435/2004 (employment – disability quota)</t>
  </si>
  <si>
    <t xml:space="preserve">Quota from 25 employees.</t>
  </si>
  <si>
    <t xml:space="preserve">HR/payroll.</t>
  </si>
  <si>
    <t xml:space="preserve">CZ Act 542/2020 (end-of-life products / WEEE)</t>
  </si>
  <si>
    <t xml:space="preserve">Disposal of electronic equipment.</t>
  </si>
  <si>
    <t xml:space="preserve">IT disposal.</t>
  </si>
  <si>
    <t xml:space="preserve">ISO/IEC 27001:2022</t>
  </si>
  <si>
    <t xml:space="preserve">Voluntary – target</t>
  </si>
  <si>
    <t xml:space="preserve">Certification expected by enterprise customers.</t>
  </si>
  <si>
    <t xml:space="preserve">Annex A.7 physical controls + people controls.</t>
  </si>
  <si>
    <t xml:space="preserve">SOC 2 (AICPA TSC)</t>
  </si>
  <si>
    <t xml:space="preserve">Expected by US customers (US expansion).</t>
  </si>
  <si>
    <t xml:space="preserve">CC6.4 physical access, CC6.5 disposal, CC7 incidents.</t>
  </si>
  <si>
    <t xml:space="preserve">NIS2 / CZ Act 264/2025 (Cybersecurity Act)</t>
  </si>
  <si>
    <t xml:space="preserve">Indirect – customer flow-down</t>
  </si>
  <si>
    <t xml:space="preserve">Duvo supplies banks and critical entities, which must secure their supply chain (Art 21(2)(d)). Direct applicability depends on size/sector test – to verify.</t>
  </si>
  <si>
    <t xml:space="preserve">Physical/environmental security, HR security, access control, hygiene and training.</t>
  </si>
  <si>
    <t xml:space="preserve">CZ Act in force since 1 Nov 2025.</t>
  </si>
  <si>
    <t xml:space="preserve">DORA (EU 2022/2554)</t>
  </si>
  <si>
    <t xml:space="preserve">Indirect – contractual</t>
  </si>
  <si>
    <t xml:space="preserve">Not a financial entity, but bank customers must include DORA contract terms with ICT providers, including audit and access/inspection rights.</t>
  </si>
  <si>
    <t xml:space="preserve">Client-visit mode = on-site inspection readiness.</t>
  </si>
  <si>
    <t xml:space="preserve">EU AI Act – Art 4 (AI literacy)</t>
  </si>
  <si>
    <t xml:space="preserve">Duvo provides and deploys AI systems; staff AI literacy obligation applies.</t>
  </si>
  <si>
    <t xml:space="preserve">Training content (PL-05), meeting AI note-takers.</t>
  </si>
  <si>
    <t xml:space="preserve">ISO/IEC 42001</t>
  </si>
  <si>
    <t xml:space="preserve">Optional</t>
  </si>
  <si>
    <t xml:space="preserve">AI management system; differentiator for an AI provider.</t>
  </si>
  <si>
    <t xml:space="preserve">Light touch for the office.</t>
  </si>
  <si>
    <t xml:space="preserve">UK GDPR / DPA 2018</t>
  </si>
  <si>
    <t xml:space="preserve">Indirect</t>
  </si>
  <si>
    <t xml:space="preserve">UK retail customers' data handled by Duvo staff.</t>
  </si>
  <si>
    <t xml:space="preserve">Handling of customer data on site.</t>
  </si>
  <si>
    <t xml:space="preserve">PCI DSS</t>
  </si>
  <si>
    <t xml:space="preserve">Not applicable</t>
  </si>
  <si>
    <t xml:space="preserve">No cardholder data handled (to confirm).</t>
  </si>
  <si>
    <t xml:space="preserve">Used only as yardstick for ☠☠☠ Hard physical controls.</t>
  </si>
  <si>
    <t xml:space="preserve">Cyber Resilience Act, Data Act, European Accessibility Act</t>
  </si>
  <si>
    <t xml:space="preserve">Out of scope here</t>
  </si>
  <si>
    <t xml:space="preserve">Product-level obligations, not office.</t>
  </si>
  <si>
    <t xml:space="preserve">None.</t>
  </si>
  <si>
    <t xml:space="preserve">Assess separately for the product.</t>
  </si>
  <si>
    <t xml:space="preserve">CZ Act 266/2025 (critical infrastructure)</t>
  </si>
  <si>
    <t xml:space="preserve">Duvo is not designated critical infrastructure.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</si>
</sst>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6CC"/>
        <bgColor rgb="FFFEEBC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6CC"/>
          <bgColor rgb="FF000000"/>
        </patternFill>
      </fill>
    </dxf>
    <dxf>
      <fill>
        <patternFill>
          <bgColor rgb="FFC6F6D5"/>
        </patternFill>
      </fill>
    </dxf>
    <dxf>
      <fill>
        <patternFill>
          <bgColor rgb="FFFEEBC8"/>
        </patternFill>
      </fill>
    </dxf>
    <dxf>
      <fill>
        <patternFill>
          <bgColor rgb="FFFED7D7"/>
        </patternFill>
      </fill>
    </dxf>
    <dxf>
      <fill>
        <patternFill>
          <bgColor rgb="FFE2E8F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CC"/>
      <rgbColor rgb="FFE2E8F0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F6D5"/>
      <rgbColor rgb="FFFEEBC8"/>
      <rgbColor rgb="FF99CCFF"/>
      <rgbColor rgb="FFFF99CC"/>
      <rgbColor rgb="FFCC99FF"/>
      <rgbColor rgb="FFFED7D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0"/>
  </cols>
  <sheetData>
    <row r="1" customFormat="false" ht="17.25" hidden="false" customHeight="true" outlineLevel="0" collapsed="false">
      <c r="A1" s="2" t="s">
        <v>0</v>
      </c>
    </row>
    <row r="2" customFormat="false" ht="23.25" hidden="false" customHeight="true" outlineLevel="0" collapsed="false">
      <c r="A2" s="3" t="s">
        <v>1</v>
      </c>
    </row>
    <row r="3" customFormat="false" ht="15" hidden="false" customHeight="true" outlineLevel="0" collapsed="false">
      <c r="A3" s="3"/>
    </row>
    <row r="4" customFormat="false" ht="15" hidden="false" customHeight="true" outlineLevel="0" collapsed="false">
      <c r="A4" s="4" t="s">
        <v>2</v>
      </c>
    </row>
    <row r="5" customFormat="false" ht="23.25" hidden="false" customHeight="true" outlineLevel="0" collapsed="false">
      <c r="A5" s="3" t="s">
        <v>3</v>
      </c>
    </row>
    <row r="6" customFormat="false" ht="15" hidden="false" customHeight="true" outlineLevel="0" collapsed="false">
      <c r="A6" s="3" t="s">
        <v>4</v>
      </c>
    </row>
    <row r="7" customFormat="false" ht="15" hidden="false" customHeight="true" outlineLevel="0" collapsed="false">
      <c r="A7" s="3" t="s">
        <v>5</v>
      </c>
    </row>
    <row r="8" customFormat="false" ht="15" hidden="false" customHeight="true" outlineLevel="0" collapsed="false">
      <c r="A8" s="3" t="s">
        <v>6</v>
      </c>
    </row>
    <row r="9" customFormat="false" ht="23.25" hidden="false" customHeight="true" outlineLevel="0" collapsed="false">
      <c r="A9" s="3" t="s">
        <v>7</v>
      </c>
    </row>
    <row r="10" customFormat="false" ht="15" hidden="false" customHeight="true" outlineLevel="0" collapsed="false">
      <c r="A10" s="3" t="s">
        <v>8</v>
      </c>
    </row>
    <row r="11" customFormat="false" ht="15" hidden="false" customHeight="true" outlineLevel="0" collapsed="false">
      <c r="A11" s="3"/>
    </row>
    <row r="12" customFormat="false" ht="15" hidden="false" customHeight="true" outlineLevel="0" collapsed="false">
      <c r="A12" s="4" t="s">
        <v>9</v>
      </c>
    </row>
    <row r="13" customFormat="false" ht="15" hidden="false" customHeight="true" outlineLevel="0" collapsed="false">
      <c r="A13" s="3" t="s">
        <v>10</v>
      </c>
    </row>
    <row r="14" customFormat="false" ht="15" hidden="false" customHeight="true" outlineLevel="0" collapsed="false">
      <c r="A14" s="3"/>
    </row>
    <row r="15" customFormat="false" ht="15" hidden="false" customHeight="true" outlineLevel="0" collapsed="false">
      <c r="A15" s="4" t="s">
        <v>11</v>
      </c>
    </row>
    <row r="16" customFormat="false" ht="23.25" hidden="false" customHeight="true" outlineLevel="0" collapsed="false">
      <c r="A16" s="3" t="s">
        <v>12</v>
      </c>
    </row>
    <row r="17" customFormat="false" ht="23.25" hidden="false" customHeight="true" outlineLevel="0" collapsed="false">
      <c r="A17" s="3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8" min="2" style="1" width="15"/>
  </cols>
  <sheetData>
    <row r="1" customFormat="false" ht="17.25" hidden="false" customHeight="true" outlineLevel="0" collapsed="false">
      <c r="A1" s="5" t="s">
        <v>14</v>
      </c>
    </row>
    <row r="3" customFormat="false" ht="23.25" hidden="false" customHeight="true" outlineLevel="0" collapsed="false">
      <c r="A3" s="6" t="s">
        <v>15</v>
      </c>
      <c r="B3" s="6" t="s">
        <v>16</v>
      </c>
      <c r="C3" s="6" t="s">
        <v>17</v>
      </c>
      <c r="D3" s="6" t="s">
        <v>18</v>
      </c>
      <c r="E3" s="6" t="s">
        <v>19</v>
      </c>
      <c r="F3" s="6" t="s">
        <v>20</v>
      </c>
      <c r="G3" s="6" t="s">
        <v>21</v>
      </c>
    </row>
    <row r="4" customFormat="false" ht="15" hidden="false" customHeight="true" outlineLevel="0" collapsed="false">
      <c r="A4" s="7" t="s">
        <v>22</v>
      </c>
      <c r="B4" s="7" t="n">
        <f aca="false">(COUNTIFS(Controls!$F$2:$F$74,"☠ Easy"))-(COUNTIFS(Controls!$F$2:$F$74,"☠ Easy",Controls!$R$2:$R$74,"N/A"))</f>
        <v>27</v>
      </c>
      <c r="C4" s="7" t="n">
        <f aca="false">COUNTIFS(Controls!$F$2:$F$74,"☠ Easy",Controls!$R$2:$R$74,"Compliant")</f>
        <v>0</v>
      </c>
      <c r="D4" s="7" t="n">
        <f aca="false">COUNTIFS(Controls!$F$2:$F$74,"☠ Easy",Controls!$R$2:$R$74,"Partial")</f>
        <v>0</v>
      </c>
      <c r="E4" s="7" t="n">
        <f aca="false">COUNTIFS(Controls!$F$2:$F$74,"☠ Easy",Controls!$R$2:$R$74,"Non-compliant")</f>
        <v>0</v>
      </c>
      <c r="F4" s="7" t="n">
        <f aca="false">COUNTIFS(Controls!$F$2:$F$74,"☠ Easy",Controls!$R$2:$R$74,"Not assessed")</f>
        <v>27</v>
      </c>
      <c r="G4" s="8" t="n">
        <f aca="false">IFERROR(C4/B4,0)</f>
        <v>0</v>
      </c>
    </row>
    <row r="5" customFormat="false" ht="15" hidden="false" customHeight="true" outlineLevel="0" collapsed="false">
      <c r="A5" s="7" t="s">
        <v>23</v>
      </c>
      <c r="B5" s="7" t="n">
        <f aca="false">(COUNTIFS(Controls!$F$2:$F$74,"☠ Easy")+COUNTIFS(Controls!$F$2:$F$74,"☠☠ Medium"))-(COUNTIFS(Controls!$F$2:$F$74,"☠ Easy",Controls!$R$2:$R$74,"N/A")+COUNTIFS(Controls!$F$2:$F$74,"☠☠ Medium",Controls!$R$2:$R$74,"N/A"))</f>
        <v>65</v>
      </c>
      <c r="C5" s="7" t="n">
        <f aca="false">COUNTIFS(Controls!$F$2:$F$74,"☠ Easy",Controls!$R$2:$R$74,"Compliant")+COUNTIFS(Controls!$F$2:$F$74,"☠☠ Medium",Controls!$R$2:$R$74,"Compliant")</f>
        <v>0</v>
      </c>
      <c r="D5" s="7" t="n">
        <f aca="false">COUNTIFS(Controls!$F$2:$F$74,"☠ Easy",Controls!$R$2:$R$74,"Partial")+COUNTIFS(Controls!$F$2:$F$74,"☠☠ Medium",Controls!$R$2:$R$74,"Partial")</f>
        <v>0</v>
      </c>
      <c r="E5" s="7" t="n">
        <f aca="false">COUNTIFS(Controls!$F$2:$F$74,"☠ Easy",Controls!$R$2:$R$74,"Non-compliant")+COUNTIFS(Controls!$F$2:$F$74,"☠☠ Medium",Controls!$R$2:$R$74,"Non-compliant")</f>
        <v>0</v>
      </c>
      <c r="F5" s="7" t="n">
        <f aca="false">COUNTIFS(Controls!$F$2:$F$74,"☠ Easy",Controls!$R$2:$R$74,"Not assessed")+COUNTIFS(Controls!$F$2:$F$74,"☠☠ Medium",Controls!$R$2:$R$74,"Not assessed")</f>
        <v>65</v>
      </c>
      <c r="G5" s="8" t="n">
        <f aca="false">IFERROR(C5/B5,0)</f>
        <v>0</v>
      </c>
    </row>
    <row r="6" customFormat="false" ht="15" hidden="false" customHeight="true" outlineLevel="0" collapsed="false">
      <c r="A6" s="7" t="s">
        <v>24</v>
      </c>
      <c r="B6" s="7" t="n">
        <f aca="false">(COUNTIFS(Controls!$F$2:$F$74,"☠ Easy")+COUNTIFS(Controls!$F$2:$F$74,"☠☠ Medium")+COUNTIFS(Controls!$F$2:$F$74,"☠☠☠ Hard"))-(COUNTIFS(Controls!$F$2:$F$74,"☠ Easy",Controls!$R$2:$R$74,"N/A")+COUNTIFS(Controls!$F$2:$F$74,"☠☠ Medium",Controls!$R$2:$R$74,"N/A")+COUNTIFS(Controls!$F$2:$F$74,"☠☠☠ Hard",Controls!$R$2:$R$74,"N/A"))</f>
        <v>73</v>
      </c>
      <c r="C6" s="7" t="n">
        <f aca="false">COUNTIFS(Controls!$F$2:$F$74,"☠ Easy",Controls!$R$2:$R$74,"Compliant")+COUNTIFS(Controls!$F$2:$F$74,"☠☠ Medium",Controls!$R$2:$R$74,"Compliant")+COUNTIFS(Controls!$F$2:$F$74,"☠☠☠ Hard",Controls!$R$2:$R$74,"Compliant")</f>
        <v>0</v>
      </c>
      <c r="D6" s="7" t="n">
        <f aca="false">COUNTIFS(Controls!$F$2:$F$74,"☠ Easy",Controls!$R$2:$R$74,"Partial")+COUNTIFS(Controls!$F$2:$F$74,"☠☠ Medium",Controls!$R$2:$R$74,"Partial")+COUNTIFS(Controls!$F$2:$F$74,"☠☠☠ Hard",Controls!$R$2:$R$74,"Partial")</f>
        <v>0</v>
      </c>
      <c r="E6" s="7" t="n">
        <f aca="false">COUNTIFS(Controls!$F$2:$F$74,"☠ Easy",Controls!$R$2:$R$74,"Non-compliant")+COUNTIFS(Controls!$F$2:$F$74,"☠☠ Medium",Controls!$R$2:$R$74,"Non-compliant")+COUNTIFS(Controls!$F$2:$F$74,"☠☠☠ Hard",Controls!$R$2:$R$74,"Non-compliant")</f>
        <v>0</v>
      </c>
      <c r="F6" s="7" t="n">
        <f aca="false">COUNTIFS(Controls!$F$2:$F$74,"☠ Easy",Controls!$R$2:$R$74,"Not assessed")+COUNTIFS(Controls!$F$2:$F$74,"☠☠ Medium",Controls!$R$2:$R$74,"Not assessed")+COUNTIFS(Controls!$F$2:$F$74,"☠☠☠ Hard",Controls!$R$2:$R$74,"Not assessed")</f>
        <v>73</v>
      </c>
      <c r="G6" s="8" t="n">
        <f aca="false">IFERROR(C6/B6,0)</f>
        <v>0</v>
      </c>
    </row>
    <row r="7" customFormat="false" ht="15" hidden="false" customHeight="true" outlineLevel="0" collapsed="false">
      <c r="A7" s="7" t="s">
        <v>25</v>
      </c>
      <c r="B7" s="7" t="n">
        <f aca="false">COUNTIFS(Controls!$G$2:$G$74,"Yes")-COUNTIFS(Controls!$G$2:$G$74,"Yes",Controls!$R$2:$R$74,"N/A")</f>
        <v>25</v>
      </c>
      <c r="C7" s="7" t="n">
        <f aca="false">COUNTIFS(Controls!$G$2:$G$74,"Yes",Controls!$R$2:$R$74,"Compliant")</f>
        <v>0</v>
      </c>
      <c r="D7" s="7" t="n">
        <f aca="false">COUNTIFS(Controls!$G$2:$G$74,"Yes",Controls!$R$2:$R$74,"Partial")</f>
        <v>0</v>
      </c>
      <c r="E7" s="7" t="n">
        <f aca="false">COUNTIFS(Controls!$G$2:$G$74,"Yes",Controls!$R$2:$R$74,"Non-compliant")</f>
        <v>0</v>
      </c>
      <c r="F7" s="7" t="n">
        <f aca="false">COUNTIFS(Controls!$G$2:$G$74,"Yes",Controls!$R$2:$R$74,"Not assessed")</f>
        <v>25</v>
      </c>
      <c r="G7" s="8" t="n">
        <f aca="false">IFERROR(C7/B7,0)</f>
        <v>0</v>
      </c>
    </row>
    <row r="9" customFormat="false" ht="15" hidden="false" customHeight="true" outlineLevel="0" collapsed="false">
      <c r="A9" s="9" t="s">
        <v>26</v>
      </c>
    </row>
    <row r="11" customFormat="false" ht="15" hidden="false" customHeight="true" outlineLevel="0" collapsed="false">
      <c r="A11" s="6" t="s">
        <v>27</v>
      </c>
      <c r="B11" s="6" t="s">
        <v>28</v>
      </c>
      <c r="C11" s="6" t="s">
        <v>17</v>
      </c>
      <c r="D11" s="6" t="s">
        <v>18</v>
      </c>
      <c r="E11" s="6" t="s">
        <v>19</v>
      </c>
      <c r="F11" s="6" t="s">
        <v>20</v>
      </c>
      <c r="G11" s="6" t="s">
        <v>29</v>
      </c>
    </row>
    <row r="12" customFormat="false" ht="15" hidden="false" customHeight="true" outlineLevel="0" collapsed="false">
      <c r="A12" s="7" t="s">
        <v>30</v>
      </c>
      <c r="B12" s="7" t="n">
        <f aca="false">COUNTIFS(Controls!$B$2:$B$74,$A12)</f>
        <v>6</v>
      </c>
      <c r="C12" s="7" t="n">
        <f aca="false">COUNTIFS(Controls!$B$2:$B$74,$A12,Controls!$R$2:$R$74,"Compliant")</f>
        <v>0</v>
      </c>
      <c r="D12" s="7" t="n">
        <f aca="false">COUNTIFS(Controls!$B$2:$B$74,$A12,Controls!$R$2:$R$74,"Partial")</f>
        <v>0</v>
      </c>
      <c r="E12" s="7" t="n">
        <f aca="false">COUNTIFS(Controls!$B$2:$B$74,$A12,Controls!$R$2:$R$74,"Non-compliant")</f>
        <v>0</v>
      </c>
      <c r="F12" s="7" t="n">
        <f aca="false">COUNTIFS(Controls!$B$2:$B$74,$A12,Controls!$R$2:$R$74,"Not assessed")</f>
        <v>6</v>
      </c>
      <c r="G12" s="7" t="n">
        <f aca="false">COUNTIFS(Controls!$B$2:$B$74,$A12,Controls!$T$2:$T$74,"High",Controls!$R$2:$R$74,"&lt;&gt;Compliant",Controls!$R$2:$R$74,"&lt;&gt;N/A")</f>
        <v>0</v>
      </c>
    </row>
    <row r="13" customFormat="false" ht="15" hidden="false" customHeight="true" outlineLevel="0" collapsed="false">
      <c r="A13" s="7" t="s">
        <v>31</v>
      </c>
      <c r="B13" s="7" t="n">
        <f aca="false">COUNTIFS(Controls!$B$2:$B$74,$A13)</f>
        <v>8</v>
      </c>
      <c r="C13" s="7" t="n">
        <f aca="false">COUNTIFS(Controls!$B$2:$B$74,$A13,Controls!$R$2:$R$74,"Compliant")</f>
        <v>0</v>
      </c>
      <c r="D13" s="7" t="n">
        <f aca="false">COUNTIFS(Controls!$B$2:$B$74,$A13,Controls!$R$2:$R$74,"Partial")</f>
        <v>0</v>
      </c>
      <c r="E13" s="7" t="n">
        <f aca="false">COUNTIFS(Controls!$B$2:$B$74,$A13,Controls!$R$2:$R$74,"Non-compliant")</f>
        <v>0</v>
      </c>
      <c r="F13" s="7" t="n">
        <f aca="false">COUNTIFS(Controls!$B$2:$B$74,$A13,Controls!$R$2:$R$74,"Not assessed")</f>
        <v>8</v>
      </c>
      <c r="G13" s="7" t="n">
        <f aca="false">COUNTIFS(Controls!$B$2:$B$74,$A13,Controls!$T$2:$T$74,"High",Controls!$R$2:$R$74,"&lt;&gt;Compliant",Controls!$R$2:$R$74,"&lt;&gt;N/A")</f>
        <v>0</v>
      </c>
    </row>
    <row r="14" customFormat="false" ht="15" hidden="false" customHeight="true" outlineLevel="0" collapsed="false">
      <c r="A14" s="7" t="s">
        <v>32</v>
      </c>
      <c r="B14" s="7" t="n">
        <f aca="false">COUNTIFS(Controls!$B$2:$B$74,$A14)</f>
        <v>6</v>
      </c>
      <c r="C14" s="7" t="n">
        <f aca="false">COUNTIFS(Controls!$B$2:$B$74,$A14,Controls!$R$2:$R$74,"Compliant")</f>
        <v>0</v>
      </c>
      <c r="D14" s="7" t="n">
        <f aca="false">COUNTIFS(Controls!$B$2:$B$74,$A14,Controls!$R$2:$R$74,"Partial")</f>
        <v>0</v>
      </c>
      <c r="E14" s="7" t="n">
        <f aca="false">COUNTIFS(Controls!$B$2:$B$74,$A14,Controls!$R$2:$R$74,"Non-compliant")</f>
        <v>0</v>
      </c>
      <c r="F14" s="7" t="n">
        <f aca="false">COUNTIFS(Controls!$B$2:$B$74,$A14,Controls!$R$2:$R$74,"Not assessed")</f>
        <v>6</v>
      </c>
      <c r="G14" s="7" t="n">
        <f aca="false">COUNTIFS(Controls!$B$2:$B$74,$A14,Controls!$T$2:$T$74,"High",Controls!$R$2:$R$74,"&lt;&gt;Compliant",Controls!$R$2:$R$74,"&lt;&gt;N/A")</f>
        <v>0</v>
      </c>
    </row>
    <row r="15" customFormat="false" ht="15" hidden="false" customHeight="true" outlineLevel="0" collapsed="false">
      <c r="A15" s="7" t="s">
        <v>33</v>
      </c>
      <c r="B15" s="7" t="n">
        <f aca="false">COUNTIFS(Controls!$B$2:$B$74,$A15)</f>
        <v>6</v>
      </c>
      <c r="C15" s="7" t="n">
        <f aca="false">COUNTIFS(Controls!$B$2:$B$74,$A15,Controls!$R$2:$R$74,"Compliant")</f>
        <v>0</v>
      </c>
      <c r="D15" s="7" t="n">
        <f aca="false">COUNTIFS(Controls!$B$2:$B$74,$A15,Controls!$R$2:$R$74,"Partial")</f>
        <v>0</v>
      </c>
      <c r="E15" s="7" t="n">
        <f aca="false">COUNTIFS(Controls!$B$2:$B$74,$A15,Controls!$R$2:$R$74,"Non-compliant")</f>
        <v>0</v>
      </c>
      <c r="F15" s="7" t="n">
        <f aca="false">COUNTIFS(Controls!$B$2:$B$74,$A15,Controls!$R$2:$R$74,"Not assessed")</f>
        <v>6</v>
      </c>
      <c r="G15" s="7" t="n">
        <f aca="false">COUNTIFS(Controls!$B$2:$B$74,$A15,Controls!$T$2:$T$74,"High",Controls!$R$2:$R$74,"&lt;&gt;Compliant",Controls!$R$2:$R$74,"&lt;&gt;N/A")</f>
        <v>0</v>
      </c>
    </row>
    <row r="16" customFormat="false" ht="15" hidden="false" customHeight="true" outlineLevel="0" collapsed="false">
      <c r="A16" s="7" t="s">
        <v>34</v>
      </c>
      <c r="B16" s="7" t="n">
        <f aca="false">COUNTIFS(Controls!$B$2:$B$74,$A16)</f>
        <v>7</v>
      </c>
      <c r="C16" s="7" t="n">
        <f aca="false">COUNTIFS(Controls!$B$2:$B$74,$A16,Controls!$R$2:$R$74,"Compliant")</f>
        <v>0</v>
      </c>
      <c r="D16" s="7" t="n">
        <f aca="false">COUNTIFS(Controls!$B$2:$B$74,$A16,Controls!$R$2:$R$74,"Partial")</f>
        <v>0</v>
      </c>
      <c r="E16" s="7" t="n">
        <f aca="false">COUNTIFS(Controls!$B$2:$B$74,$A16,Controls!$R$2:$R$74,"Non-compliant")</f>
        <v>0</v>
      </c>
      <c r="F16" s="7" t="n">
        <f aca="false">COUNTIFS(Controls!$B$2:$B$74,$A16,Controls!$R$2:$R$74,"Not assessed")</f>
        <v>7</v>
      </c>
      <c r="G16" s="7" t="n">
        <f aca="false">COUNTIFS(Controls!$B$2:$B$74,$A16,Controls!$T$2:$T$74,"High",Controls!$R$2:$R$74,"&lt;&gt;Compliant",Controls!$R$2:$R$74,"&lt;&gt;N/A")</f>
        <v>0</v>
      </c>
    </row>
    <row r="17" customFormat="false" ht="15" hidden="false" customHeight="true" outlineLevel="0" collapsed="false">
      <c r="A17" s="7" t="s">
        <v>35</v>
      </c>
      <c r="B17" s="7" t="n">
        <f aca="false">COUNTIFS(Controls!$B$2:$B$74,$A17)</f>
        <v>5</v>
      </c>
      <c r="C17" s="7" t="n">
        <f aca="false">COUNTIFS(Controls!$B$2:$B$74,$A17,Controls!$R$2:$R$74,"Compliant")</f>
        <v>0</v>
      </c>
      <c r="D17" s="7" t="n">
        <f aca="false">COUNTIFS(Controls!$B$2:$B$74,$A17,Controls!$R$2:$R$74,"Partial")</f>
        <v>0</v>
      </c>
      <c r="E17" s="7" t="n">
        <f aca="false">COUNTIFS(Controls!$B$2:$B$74,$A17,Controls!$R$2:$R$74,"Non-compliant")</f>
        <v>0</v>
      </c>
      <c r="F17" s="7" t="n">
        <f aca="false">COUNTIFS(Controls!$B$2:$B$74,$A17,Controls!$R$2:$R$74,"Not assessed")</f>
        <v>5</v>
      </c>
      <c r="G17" s="7" t="n">
        <f aca="false">COUNTIFS(Controls!$B$2:$B$74,$A17,Controls!$T$2:$T$74,"High",Controls!$R$2:$R$74,"&lt;&gt;Compliant",Controls!$R$2:$R$74,"&lt;&gt;N/A")</f>
        <v>0</v>
      </c>
    </row>
    <row r="18" customFormat="false" ht="15" hidden="false" customHeight="true" outlineLevel="0" collapsed="false">
      <c r="A18" s="7" t="s">
        <v>36</v>
      </c>
      <c r="B18" s="7" t="n">
        <f aca="false">COUNTIFS(Controls!$B$2:$B$74,$A18)</f>
        <v>4</v>
      </c>
      <c r="C18" s="7" t="n">
        <f aca="false">COUNTIFS(Controls!$B$2:$B$74,$A18,Controls!$R$2:$R$74,"Compliant")</f>
        <v>0</v>
      </c>
      <c r="D18" s="7" t="n">
        <f aca="false">COUNTIFS(Controls!$B$2:$B$74,$A18,Controls!$R$2:$R$74,"Partial")</f>
        <v>0</v>
      </c>
      <c r="E18" s="7" t="n">
        <f aca="false">COUNTIFS(Controls!$B$2:$B$74,$A18,Controls!$R$2:$R$74,"Non-compliant")</f>
        <v>0</v>
      </c>
      <c r="F18" s="7" t="n">
        <f aca="false">COUNTIFS(Controls!$B$2:$B$74,$A18,Controls!$R$2:$R$74,"Not assessed")</f>
        <v>4</v>
      </c>
      <c r="G18" s="7" t="n">
        <f aca="false">COUNTIFS(Controls!$B$2:$B$74,$A18,Controls!$T$2:$T$74,"High",Controls!$R$2:$R$74,"&lt;&gt;Compliant",Controls!$R$2:$R$74,"&lt;&gt;N/A")</f>
        <v>0</v>
      </c>
    </row>
    <row r="19" customFormat="false" ht="15" hidden="false" customHeight="true" outlineLevel="0" collapsed="false">
      <c r="A19" s="7" t="s">
        <v>37</v>
      </c>
      <c r="B19" s="7" t="n">
        <f aca="false">COUNTIFS(Controls!$B$2:$B$74,$A19)</f>
        <v>2</v>
      </c>
      <c r="C19" s="7" t="n">
        <f aca="false">COUNTIFS(Controls!$B$2:$B$74,$A19,Controls!$R$2:$R$74,"Compliant")</f>
        <v>0</v>
      </c>
      <c r="D19" s="7" t="n">
        <f aca="false">COUNTIFS(Controls!$B$2:$B$74,$A19,Controls!$R$2:$R$74,"Partial")</f>
        <v>0</v>
      </c>
      <c r="E19" s="7" t="n">
        <f aca="false">COUNTIFS(Controls!$B$2:$B$74,$A19,Controls!$R$2:$R$74,"Non-compliant")</f>
        <v>0</v>
      </c>
      <c r="F19" s="7" t="n">
        <f aca="false">COUNTIFS(Controls!$B$2:$B$74,$A19,Controls!$R$2:$R$74,"Not assessed")</f>
        <v>2</v>
      </c>
      <c r="G19" s="7" t="n">
        <f aca="false">COUNTIFS(Controls!$B$2:$B$74,$A19,Controls!$T$2:$T$74,"High",Controls!$R$2:$R$74,"&lt;&gt;Compliant",Controls!$R$2:$R$74,"&lt;&gt;N/A")</f>
        <v>0</v>
      </c>
    </row>
    <row r="20" customFormat="false" ht="15" hidden="false" customHeight="true" outlineLevel="0" collapsed="false">
      <c r="A20" s="7" t="s">
        <v>38</v>
      </c>
      <c r="B20" s="7" t="n">
        <f aca="false">COUNTIFS(Controls!$B$2:$B$74,$A20)</f>
        <v>7</v>
      </c>
      <c r="C20" s="7" t="n">
        <f aca="false">COUNTIFS(Controls!$B$2:$B$74,$A20,Controls!$R$2:$R$74,"Compliant")</f>
        <v>0</v>
      </c>
      <c r="D20" s="7" t="n">
        <f aca="false">COUNTIFS(Controls!$B$2:$B$74,$A20,Controls!$R$2:$R$74,"Partial")</f>
        <v>0</v>
      </c>
      <c r="E20" s="7" t="n">
        <f aca="false">COUNTIFS(Controls!$B$2:$B$74,$A20,Controls!$R$2:$R$74,"Non-compliant")</f>
        <v>0</v>
      </c>
      <c r="F20" s="7" t="n">
        <f aca="false">COUNTIFS(Controls!$B$2:$B$74,$A20,Controls!$R$2:$R$74,"Not assessed")</f>
        <v>7</v>
      </c>
      <c r="G20" s="7" t="n">
        <f aca="false">COUNTIFS(Controls!$B$2:$B$74,$A20,Controls!$T$2:$T$74,"High",Controls!$R$2:$R$74,"&lt;&gt;Compliant",Controls!$R$2:$R$74,"&lt;&gt;N/A")</f>
        <v>0</v>
      </c>
    </row>
    <row r="21" customFormat="false" ht="15" hidden="false" customHeight="true" outlineLevel="0" collapsed="false">
      <c r="A21" s="7" t="s">
        <v>39</v>
      </c>
      <c r="B21" s="7" t="n">
        <f aca="false">COUNTIFS(Controls!$B$2:$B$74,$A21)</f>
        <v>5</v>
      </c>
      <c r="C21" s="7" t="n">
        <f aca="false">COUNTIFS(Controls!$B$2:$B$74,$A21,Controls!$R$2:$R$74,"Compliant")</f>
        <v>0</v>
      </c>
      <c r="D21" s="7" t="n">
        <f aca="false">COUNTIFS(Controls!$B$2:$B$74,$A21,Controls!$R$2:$R$74,"Partial")</f>
        <v>0</v>
      </c>
      <c r="E21" s="7" t="n">
        <f aca="false">COUNTIFS(Controls!$B$2:$B$74,$A21,Controls!$R$2:$R$74,"Non-compliant")</f>
        <v>0</v>
      </c>
      <c r="F21" s="7" t="n">
        <f aca="false">COUNTIFS(Controls!$B$2:$B$74,$A21,Controls!$R$2:$R$74,"Not assessed")</f>
        <v>5</v>
      </c>
      <c r="G21" s="7" t="n">
        <f aca="false">COUNTIFS(Controls!$B$2:$B$74,$A21,Controls!$T$2:$T$74,"High",Controls!$R$2:$R$74,"&lt;&gt;Compliant",Controls!$R$2:$R$74,"&lt;&gt;N/A")</f>
        <v>0</v>
      </c>
    </row>
    <row r="22" customFormat="false" ht="15" hidden="false" customHeight="true" outlineLevel="0" collapsed="false">
      <c r="A22" s="7" t="s">
        <v>40</v>
      </c>
      <c r="B22" s="7" t="n">
        <f aca="false">COUNTIFS(Controls!$B$2:$B$74,$A22)</f>
        <v>7</v>
      </c>
      <c r="C22" s="7" t="n">
        <f aca="false">COUNTIFS(Controls!$B$2:$B$74,$A22,Controls!$R$2:$R$74,"Compliant")</f>
        <v>0</v>
      </c>
      <c r="D22" s="7" t="n">
        <f aca="false">COUNTIFS(Controls!$B$2:$B$74,$A22,Controls!$R$2:$R$74,"Partial")</f>
        <v>0</v>
      </c>
      <c r="E22" s="7" t="n">
        <f aca="false">COUNTIFS(Controls!$B$2:$B$74,$A22,Controls!$R$2:$R$74,"Non-compliant")</f>
        <v>0</v>
      </c>
      <c r="F22" s="7" t="n">
        <f aca="false">COUNTIFS(Controls!$B$2:$B$74,$A22,Controls!$R$2:$R$74,"Not assessed")</f>
        <v>7</v>
      </c>
      <c r="G22" s="7" t="n">
        <f aca="false">COUNTIFS(Controls!$B$2:$B$74,$A22,Controls!$T$2:$T$74,"High",Controls!$R$2:$R$74,"&lt;&gt;Compliant",Controls!$R$2:$R$74,"&lt;&gt;N/A")</f>
        <v>0</v>
      </c>
    </row>
    <row r="23" customFormat="false" ht="15" hidden="false" customHeight="true" outlineLevel="0" collapsed="false">
      <c r="A23" s="7" t="s">
        <v>41</v>
      </c>
      <c r="B23" s="7" t="n">
        <f aca="false">COUNTIFS(Controls!$B$2:$B$74,$A23)</f>
        <v>3</v>
      </c>
      <c r="C23" s="7" t="n">
        <f aca="false">COUNTIFS(Controls!$B$2:$B$74,$A23,Controls!$R$2:$R$74,"Compliant")</f>
        <v>0</v>
      </c>
      <c r="D23" s="7" t="n">
        <f aca="false">COUNTIFS(Controls!$B$2:$B$74,$A23,Controls!$R$2:$R$74,"Partial")</f>
        <v>0</v>
      </c>
      <c r="E23" s="7" t="n">
        <f aca="false">COUNTIFS(Controls!$B$2:$B$74,$A23,Controls!$R$2:$R$74,"Non-compliant")</f>
        <v>0</v>
      </c>
      <c r="F23" s="7" t="n">
        <f aca="false">COUNTIFS(Controls!$B$2:$B$74,$A23,Controls!$R$2:$R$74,"Not assessed")</f>
        <v>3</v>
      </c>
      <c r="G23" s="7" t="n">
        <f aca="false">COUNTIFS(Controls!$B$2:$B$74,$A23,Controls!$T$2:$T$74,"High",Controls!$R$2:$R$74,"&lt;&gt;Compliant",Controls!$R$2:$R$74,"&lt;&gt;N/A")</f>
        <v>0</v>
      </c>
    </row>
    <row r="24" customFormat="false" ht="15" hidden="false" customHeight="true" outlineLevel="0" collapsed="false">
      <c r="A24" s="7" t="s">
        <v>42</v>
      </c>
      <c r="B24" s="7" t="n">
        <f aca="false">COUNTIFS(Controls!$B$2:$B$74,$A24)</f>
        <v>5</v>
      </c>
      <c r="C24" s="7" t="n">
        <f aca="false">COUNTIFS(Controls!$B$2:$B$74,$A24,Controls!$R$2:$R$74,"Compliant")</f>
        <v>0</v>
      </c>
      <c r="D24" s="7" t="n">
        <f aca="false">COUNTIFS(Controls!$B$2:$B$74,$A24,Controls!$R$2:$R$74,"Partial")</f>
        <v>0</v>
      </c>
      <c r="E24" s="7" t="n">
        <f aca="false">COUNTIFS(Controls!$B$2:$B$74,$A24,Controls!$R$2:$R$74,"Non-compliant")</f>
        <v>0</v>
      </c>
      <c r="F24" s="7" t="n">
        <f aca="false">COUNTIFS(Controls!$B$2:$B$74,$A24,Controls!$R$2:$R$74,"Not assessed")</f>
        <v>5</v>
      </c>
      <c r="G24" s="7" t="n">
        <f aca="false">COUNTIFS(Controls!$B$2:$B$74,$A24,Controls!$T$2:$T$74,"High",Controls!$R$2:$R$74,"&lt;&gt;Compliant",Controls!$R$2:$R$74,"&lt;&gt;N/A")</f>
        <v>0</v>
      </c>
    </row>
    <row r="25" customFormat="false" ht="15" hidden="false" customHeight="true" outlineLevel="0" collapsed="false">
      <c r="A25" s="7" t="s">
        <v>43</v>
      </c>
      <c r="B25" s="7" t="n">
        <f aca="false">COUNTIFS(Controls!$B$2:$B$74,$A25)</f>
        <v>2</v>
      </c>
      <c r="C25" s="7" t="n">
        <f aca="false">COUNTIFS(Controls!$B$2:$B$74,$A25,Controls!$R$2:$R$74,"Compliant")</f>
        <v>0</v>
      </c>
      <c r="D25" s="7" t="n">
        <f aca="false">COUNTIFS(Controls!$B$2:$B$74,$A25,Controls!$R$2:$R$74,"Partial")</f>
        <v>0</v>
      </c>
      <c r="E25" s="7" t="n">
        <f aca="false">COUNTIFS(Controls!$B$2:$B$74,$A25,Controls!$R$2:$R$74,"Non-compliant")</f>
        <v>0</v>
      </c>
      <c r="F25" s="7" t="n">
        <f aca="false">COUNTIFS(Controls!$B$2:$B$74,$A25,Controls!$R$2:$R$74,"Not assessed")</f>
        <v>2</v>
      </c>
      <c r="G25" s="7" t="n">
        <f aca="false">COUNTIFS(Controls!$B$2:$B$74,$A25,Controls!$T$2:$T$74,"High",Controls!$R$2:$R$74,"&lt;&gt;Compliant",Controls!$R$2:$R$74,"&lt;&gt;N/A")</f>
        <v>0</v>
      </c>
    </row>
    <row r="26" customFormat="false" ht="15" hidden="false" customHeight="true" outlineLevel="0" collapsed="false">
      <c r="A26" s="10" t="s">
        <v>44</v>
      </c>
      <c r="B26" s="11" t="n">
        <f aca="false">SUM(B12:B25)</f>
        <v>73</v>
      </c>
      <c r="C26" s="11" t="n">
        <f aca="false">SUM(C12:C25)</f>
        <v>0</v>
      </c>
      <c r="D26" s="11" t="n">
        <f aca="false">SUM(D12:D25)</f>
        <v>0</v>
      </c>
      <c r="E26" s="11" t="n">
        <f aca="false">SUM(E12:E25)</f>
        <v>0</v>
      </c>
      <c r="F26" s="11" t="n">
        <f aca="false">SUM(F12:F25)</f>
        <v>73</v>
      </c>
      <c r="G26" s="11" t="n">
        <f aca="false">SUM(G12:G25)</f>
        <v>0</v>
      </c>
    </row>
    <row r="28" customFormat="false" ht="15" hidden="false" customHeight="true" outlineLevel="0" collapsed="false">
      <c r="A28" s="10" t="s">
        <v>45</v>
      </c>
    </row>
    <row r="29" customFormat="false" ht="15" hidden="false" customHeight="true" outlineLevel="0" collapsed="false">
      <c r="A29" s="12" t="s">
        <v>46</v>
      </c>
      <c r="B29" s="12" t="n">
        <f aca="false">COUNTIFS(Controls!$P$2:$P$74,"Full")</f>
        <v>23</v>
      </c>
    </row>
    <row r="30" customFormat="false" ht="15" hidden="false" customHeight="true" outlineLevel="0" collapsed="false">
      <c r="A30" s="12" t="s">
        <v>18</v>
      </c>
      <c r="B30" s="12" t="n">
        <f aca="false">COUNTIFS(Controls!$P$2:$P$74,"Partial")</f>
        <v>22</v>
      </c>
    </row>
    <row r="31" customFormat="false" ht="15" hidden="false" customHeight="true" outlineLevel="0" collapsed="false">
      <c r="A31" s="12" t="s">
        <v>47</v>
      </c>
      <c r="B31" s="12" t="n">
        <f aca="false">COUNTIFS(Controls!$P$2:$P$74,"No")</f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60"/>
    <col collapsed="false" customWidth="true" hidden="false" outlineLevel="0" max="4" min="3" style="1" width="45"/>
  </cols>
  <sheetData>
    <row r="1" customFormat="false" ht="15" hidden="false" customHeight="true" outlineLevel="0" collapsed="false">
      <c r="A1" s="6" t="s">
        <v>48</v>
      </c>
      <c r="B1" s="6" t="s">
        <v>49</v>
      </c>
      <c r="C1" s="6" t="s">
        <v>50</v>
      </c>
      <c r="D1" s="6" t="s">
        <v>51</v>
      </c>
    </row>
    <row r="2" customFormat="false" ht="23.25" hidden="false" customHeight="true" outlineLevel="0" collapsed="false">
      <c r="A2" s="13" t="s">
        <v>52</v>
      </c>
      <c r="B2" s="13" t="s">
        <v>53</v>
      </c>
      <c r="C2" s="13" t="s">
        <v>54</v>
      </c>
      <c r="D2" s="13" t="s">
        <v>55</v>
      </c>
    </row>
    <row r="3" customFormat="false" ht="23.25" hidden="false" customHeight="true" outlineLevel="0" collapsed="false">
      <c r="A3" s="13" t="s">
        <v>56</v>
      </c>
      <c r="B3" s="13" t="s">
        <v>57</v>
      </c>
      <c r="C3" s="13" t="s">
        <v>58</v>
      </c>
      <c r="D3" s="13" t="s">
        <v>59</v>
      </c>
    </row>
    <row r="4" customFormat="false" ht="23.25" hidden="false" customHeight="true" outlineLevel="0" collapsed="false">
      <c r="A4" s="13" t="s">
        <v>60</v>
      </c>
      <c r="B4" s="13" t="s">
        <v>61</v>
      </c>
      <c r="C4" s="13" t="s">
        <v>62</v>
      </c>
      <c r="D4" s="13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0"/>
    <col collapsed="false" customWidth="true" hidden="false" outlineLevel="0" max="3" min="3" style="1" width="45"/>
    <col collapsed="false" customWidth="true" hidden="false" outlineLevel="0" max="5" min="4" style="1" width="38"/>
    <col collapsed="false" customWidth="true" hidden="false" outlineLevel="0" max="6" min="6" style="1" width="13"/>
    <col collapsed="false" customWidth="true" hidden="false" outlineLevel="0" max="7" min="7" style="1" width="9"/>
    <col collapsed="false" customWidth="true" hidden="false" outlineLevel="0" max="8" min="8" style="1" width="42"/>
    <col collapsed="false" customWidth="true" hidden="false" outlineLevel="0" max="9" min="9" style="1" width="38"/>
    <col collapsed="false" customWidth="true" hidden="false" outlineLevel="0" max="10" min="10" style="1" width="18"/>
    <col collapsed="false" customWidth="true" hidden="false" outlineLevel="0" max="11" min="11" style="1" width="24"/>
    <col collapsed="false" customWidth="true" hidden="false" outlineLevel="0" max="12" min="12" style="1" width="16"/>
    <col collapsed="false" customWidth="true" hidden="false" outlineLevel="0" max="13" min="13" style="1" width="14"/>
    <col collapsed="false" customWidth="true" hidden="false" outlineLevel="0" max="14" min="14" style="1" width="16"/>
    <col collapsed="false" customWidth="true" hidden="false" outlineLevel="0" max="15" min="15" style="1" width="18"/>
    <col collapsed="false" customWidth="true" hidden="false" outlineLevel="0" max="16" min="16" style="1" width="12"/>
    <col collapsed="false" customWidth="true" hidden="false" outlineLevel="0" max="17" min="17" style="1" width="40"/>
    <col collapsed="false" customWidth="true" hidden="false" outlineLevel="0" max="18" min="18" style="1" width="14"/>
    <col collapsed="false" customWidth="true" hidden="false" outlineLevel="0" max="19" min="19" style="1" width="40"/>
    <col collapsed="false" customWidth="true" hidden="false" outlineLevel="0" max="20" min="20" style="1" width="9"/>
    <col collapsed="false" customWidth="true" hidden="false" outlineLevel="0" max="21" min="21" style="1" width="14"/>
    <col collapsed="false" customWidth="true" hidden="false" outlineLevel="0" max="22" min="22" style="1" width="9"/>
    <col collapsed="false" customWidth="true" hidden="false" outlineLevel="0" max="23" min="23" style="1" width="12"/>
    <col collapsed="false" customWidth="true" hidden="false" outlineLevel="0" max="24" min="24" style="1" width="14"/>
  </cols>
  <sheetData>
    <row r="1" customFormat="false" ht="34.5" hidden="false" customHeight="true" outlineLevel="0" collapsed="false">
      <c r="A1" s="6" t="s">
        <v>64</v>
      </c>
      <c r="B1" s="6" t="s">
        <v>27</v>
      </c>
      <c r="C1" s="6" t="s">
        <v>65</v>
      </c>
      <c r="D1" s="6" t="s">
        <v>66</v>
      </c>
      <c r="E1" s="6" t="s">
        <v>67</v>
      </c>
      <c r="F1" s="6" t="s">
        <v>48</v>
      </c>
      <c r="G1" s="6" t="s">
        <v>68</v>
      </c>
      <c r="H1" s="6" t="s">
        <v>69</v>
      </c>
      <c r="I1" s="6" t="s">
        <v>70</v>
      </c>
      <c r="J1" s="6" t="s">
        <v>71</v>
      </c>
      <c r="K1" s="6" t="s">
        <v>72</v>
      </c>
      <c r="L1" s="6" t="s">
        <v>73</v>
      </c>
      <c r="M1" s="6" t="s">
        <v>74</v>
      </c>
      <c r="N1" s="6" t="s">
        <v>75</v>
      </c>
      <c r="O1" s="6" t="s">
        <v>76</v>
      </c>
      <c r="P1" s="6" t="s">
        <v>77</v>
      </c>
      <c r="Q1" s="6" t="s">
        <v>78</v>
      </c>
      <c r="R1" s="6" t="s">
        <v>79</v>
      </c>
      <c r="S1" s="6" t="s">
        <v>80</v>
      </c>
      <c r="T1" s="6" t="s">
        <v>81</v>
      </c>
      <c r="U1" s="6" t="s">
        <v>82</v>
      </c>
      <c r="V1" s="6" t="s">
        <v>83</v>
      </c>
      <c r="W1" s="6" t="s">
        <v>84</v>
      </c>
      <c r="X1" s="6" t="s">
        <v>85</v>
      </c>
    </row>
    <row r="2" customFormat="false" ht="34.5" hidden="false" customHeight="true" outlineLevel="0" collapsed="false">
      <c r="A2" s="13" t="s">
        <v>86</v>
      </c>
      <c r="B2" s="13" t="s">
        <v>30</v>
      </c>
      <c r="C2" s="13" t="s">
        <v>87</v>
      </c>
      <c r="D2" s="13" t="s">
        <v>88</v>
      </c>
      <c r="E2" s="13" t="s">
        <v>89</v>
      </c>
      <c r="F2" s="13" t="s">
        <v>52</v>
      </c>
      <c r="G2" s="13" t="s">
        <v>90</v>
      </c>
      <c r="H2" s="13" t="s">
        <v>91</v>
      </c>
      <c r="I2" s="13" t="s">
        <v>92</v>
      </c>
      <c r="J2" s="13" t="s">
        <v>93</v>
      </c>
      <c r="K2" s="13" t="s">
        <v>94</v>
      </c>
      <c r="L2" s="13" t="s">
        <v>95</v>
      </c>
      <c r="M2" s="13" t="s">
        <v>96</v>
      </c>
      <c r="N2" s="13" t="s">
        <v>97</v>
      </c>
      <c r="O2" s="13" t="s">
        <v>94</v>
      </c>
      <c r="P2" s="13" t="s">
        <v>18</v>
      </c>
      <c r="Q2" s="13" t="s">
        <v>98</v>
      </c>
      <c r="R2" s="14" t="s">
        <v>20</v>
      </c>
      <c r="S2" s="14"/>
      <c r="T2" s="14"/>
      <c r="U2" s="14"/>
      <c r="V2" s="14"/>
      <c r="W2" s="14"/>
      <c r="X2" s="14"/>
    </row>
    <row r="3" customFormat="false" ht="34.5" hidden="false" customHeight="true" outlineLevel="0" collapsed="false">
      <c r="A3" s="13" t="s">
        <v>99</v>
      </c>
      <c r="B3" s="13" t="s">
        <v>30</v>
      </c>
      <c r="C3" s="13" t="s">
        <v>100</v>
      </c>
      <c r="D3" s="13" t="s">
        <v>101</v>
      </c>
      <c r="E3" s="13" t="s">
        <v>102</v>
      </c>
      <c r="F3" s="13" t="s">
        <v>56</v>
      </c>
      <c r="G3" s="13" t="s">
        <v>47</v>
      </c>
      <c r="H3" s="13" t="s">
        <v>103</v>
      </c>
      <c r="I3" s="13" t="s">
        <v>104</v>
      </c>
      <c r="J3" s="13" t="s">
        <v>93</v>
      </c>
      <c r="K3" s="13" t="s">
        <v>94</v>
      </c>
      <c r="L3" s="13" t="s">
        <v>105</v>
      </c>
      <c r="M3" s="13" t="s">
        <v>96</v>
      </c>
      <c r="N3" s="13" t="s">
        <v>97</v>
      </c>
      <c r="O3" s="13" t="s">
        <v>94</v>
      </c>
      <c r="P3" s="13" t="s">
        <v>46</v>
      </c>
      <c r="Q3" s="13" t="s">
        <v>106</v>
      </c>
      <c r="R3" s="14" t="s">
        <v>20</v>
      </c>
      <c r="S3" s="14"/>
      <c r="T3" s="14"/>
      <c r="U3" s="14"/>
      <c r="V3" s="14"/>
      <c r="W3" s="14"/>
      <c r="X3" s="14"/>
    </row>
    <row r="4" customFormat="false" ht="34.5" hidden="false" customHeight="true" outlineLevel="0" collapsed="false">
      <c r="A4" s="13" t="s">
        <v>107</v>
      </c>
      <c r="B4" s="13" t="s">
        <v>30</v>
      </c>
      <c r="C4" s="13" t="s">
        <v>108</v>
      </c>
      <c r="D4" s="13" t="s">
        <v>109</v>
      </c>
      <c r="E4" s="13" t="s">
        <v>110</v>
      </c>
      <c r="F4" s="13" t="s">
        <v>56</v>
      </c>
      <c r="G4" s="13" t="s">
        <v>90</v>
      </c>
      <c r="H4" s="13" t="s">
        <v>111</v>
      </c>
      <c r="I4" s="13" t="s">
        <v>112</v>
      </c>
      <c r="J4" s="13" t="s">
        <v>94</v>
      </c>
      <c r="K4" s="13" t="s">
        <v>94</v>
      </c>
      <c r="L4" s="13" t="s">
        <v>113</v>
      </c>
      <c r="M4" s="13" t="s">
        <v>114</v>
      </c>
      <c r="N4" s="13" t="s">
        <v>115</v>
      </c>
      <c r="O4" s="13" t="s">
        <v>94</v>
      </c>
      <c r="P4" s="13" t="s">
        <v>18</v>
      </c>
      <c r="Q4" s="13" t="s">
        <v>116</v>
      </c>
      <c r="R4" s="14" t="s">
        <v>20</v>
      </c>
      <c r="S4" s="14"/>
      <c r="T4" s="14"/>
      <c r="U4" s="14"/>
      <c r="V4" s="14"/>
      <c r="W4" s="14"/>
      <c r="X4" s="14"/>
    </row>
    <row r="5" customFormat="false" ht="34.5" hidden="false" customHeight="true" outlineLevel="0" collapsed="false">
      <c r="A5" s="13" t="s">
        <v>117</v>
      </c>
      <c r="B5" s="13" t="s">
        <v>30</v>
      </c>
      <c r="C5" s="13" t="s">
        <v>118</v>
      </c>
      <c r="D5" s="13" t="s">
        <v>119</v>
      </c>
      <c r="E5" s="13" t="s">
        <v>120</v>
      </c>
      <c r="F5" s="13" t="s">
        <v>56</v>
      </c>
      <c r="G5" s="13" t="s">
        <v>47</v>
      </c>
      <c r="H5" s="13" t="s">
        <v>121</v>
      </c>
      <c r="I5" s="13" t="s">
        <v>122</v>
      </c>
      <c r="J5" s="13" t="s">
        <v>93</v>
      </c>
      <c r="K5" s="13" t="s">
        <v>94</v>
      </c>
      <c r="L5" s="13" t="s">
        <v>123</v>
      </c>
      <c r="M5" s="13" t="s">
        <v>96</v>
      </c>
      <c r="N5" s="13" t="s">
        <v>97</v>
      </c>
      <c r="O5" s="13" t="s">
        <v>94</v>
      </c>
      <c r="P5" s="13" t="s">
        <v>47</v>
      </c>
      <c r="Q5" s="13"/>
      <c r="R5" s="14" t="s">
        <v>20</v>
      </c>
      <c r="S5" s="14"/>
      <c r="T5" s="14"/>
      <c r="U5" s="14"/>
      <c r="V5" s="14"/>
      <c r="W5" s="14"/>
      <c r="X5" s="14"/>
    </row>
    <row r="6" customFormat="false" ht="45.75" hidden="false" customHeight="true" outlineLevel="0" collapsed="false">
      <c r="A6" s="13" t="s">
        <v>124</v>
      </c>
      <c r="B6" s="13" t="s">
        <v>30</v>
      </c>
      <c r="C6" s="13" t="s">
        <v>125</v>
      </c>
      <c r="D6" s="13" t="s">
        <v>126</v>
      </c>
      <c r="E6" s="13" t="s">
        <v>127</v>
      </c>
      <c r="F6" s="13" t="s">
        <v>56</v>
      </c>
      <c r="G6" s="13" t="s">
        <v>47</v>
      </c>
      <c r="H6" s="13" t="s">
        <v>128</v>
      </c>
      <c r="I6" s="13" t="s">
        <v>129</v>
      </c>
      <c r="J6" s="13" t="s">
        <v>130</v>
      </c>
      <c r="K6" s="13" t="s">
        <v>131</v>
      </c>
      <c r="L6" s="13" t="s">
        <v>132</v>
      </c>
      <c r="M6" s="13" t="s">
        <v>96</v>
      </c>
      <c r="N6" s="13" t="s">
        <v>97</v>
      </c>
      <c r="O6" s="13" t="s">
        <v>94</v>
      </c>
      <c r="P6" s="13" t="s">
        <v>46</v>
      </c>
      <c r="Q6" s="13" t="s">
        <v>133</v>
      </c>
      <c r="R6" s="14" t="s">
        <v>20</v>
      </c>
      <c r="S6" s="14"/>
      <c r="T6" s="14"/>
      <c r="U6" s="14"/>
      <c r="V6" s="14"/>
      <c r="W6" s="14"/>
      <c r="X6" s="14"/>
    </row>
    <row r="7" customFormat="false" ht="23.25" hidden="false" customHeight="true" outlineLevel="0" collapsed="false">
      <c r="A7" s="13" t="s">
        <v>134</v>
      </c>
      <c r="B7" s="13" t="s">
        <v>30</v>
      </c>
      <c r="C7" s="13" t="s">
        <v>135</v>
      </c>
      <c r="D7" s="13" t="s">
        <v>136</v>
      </c>
      <c r="E7" s="13" t="s">
        <v>137</v>
      </c>
      <c r="F7" s="13" t="s">
        <v>60</v>
      </c>
      <c r="G7" s="13" t="s">
        <v>47</v>
      </c>
      <c r="H7" s="13" t="s">
        <v>138</v>
      </c>
      <c r="I7" s="13" t="s">
        <v>139</v>
      </c>
      <c r="J7" s="13" t="s">
        <v>93</v>
      </c>
      <c r="K7" s="13" t="s">
        <v>94</v>
      </c>
      <c r="L7" s="13" t="s">
        <v>140</v>
      </c>
      <c r="M7" s="13" t="s">
        <v>141</v>
      </c>
      <c r="N7" s="13" t="s">
        <v>142</v>
      </c>
      <c r="O7" s="13" t="s">
        <v>94</v>
      </c>
      <c r="P7" s="13" t="s">
        <v>46</v>
      </c>
      <c r="Q7" s="13" t="s">
        <v>143</v>
      </c>
      <c r="R7" s="14" t="s">
        <v>20</v>
      </c>
      <c r="S7" s="14"/>
      <c r="T7" s="14"/>
      <c r="U7" s="14"/>
      <c r="V7" s="14"/>
      <c r="W7" s="14"/>
      <c r="X7" s="14"/>
    </row>
    <row r="8" customFormat="false" ht="34.5" hidden="false" customHeight="true" outlineLevel="0" collapsed="false">
      <c r="A8" s="13" t="s">
        <v>144</v>
      </c>
      <c r="B8" s="13" t="s">
        <v>31</v>
      </c>
      <c r="C8" s="13" t="s">
        <v>145</v>
      </c>
      <c r="D8" s="13" t="s">
        <v>146</v>
      </c>
      <c r="E8" s="13" t="s">
        <v>147</v>
      </c>
      <c r="F8" s="13" t="s">
        <v>56</v>
      </c>
      <c r="G8" s="13" t="s">
        <v>90</v>
      </c>
      <c r="H8" s="13" t="s">
        <v>148</v>
      </c>
      <c r="I8" s="13" t="s">
        <v>149</v>
      </c>
      <c r="J8" s="13" t="s">
        <v>150</v>
      </c>
      <c r="K8" s="13" t="s">
        <v>151</v>
      </c>
      <c r="L8" s="13" t="s">
        <v>152</v>
      </c>
      <c r="M8" s="13" t="s">
        <v>96</v>
      </c>
      <c r="N8" s="13" t="s">
        <v>97</v>
      </c>
      <c r="O8" s="13" t="s">
        <v>94</v>
      </c>
      <c r="P8" s="13" t="s">
        <v>18</v>
      </c>
      <c r="Q8" s="13" t="s">
        <v>153</v>
      </c>
      <c r="R8" s="14" t="s">
        <v>20</v>
      </c>
      <c r="S8" s="14"/>
      <c r="T8" s="14"/>
      <c r="U8" s="14"/>
      <c r="V8" s="14"/>
      <c r="W8" s="14"/>
      <c r="X8" s="14"/>
    </row>
    <row r="9" customFormat="false" ht="34.5" hidden="false" customHeight="true" outlineLevel="0" collapsed="false">
      <c r="A9" s="13" t="s">
        <v>154</v>
      </c>
      <c r="B9" s="13" t="s">
        <v>31</v>
      </c>
      <c r="C9" s="13" t="s">
        <v>155</v>
      </c>
      <c r="D9" s="13" t="s">
        <v>156</v>
      </c>
      <c r="E9" s="13" t="s">
        <v>157</v>
      </c>
      <c r="F9" s="13" t="s">
        <v>52</v>
      </c>
      <c r="G9" s="13" t="s">
        <v>90</v>
      </c>
      <c r="H9" s="13" t="s">
        <v>158</v>
      </c>
      <c r="I9" s="13" t="s">
        <v>159</v>
      </c>
      <c r="J9" s="13" t="s">
        <v>160</v>
      </c>
      <c r="K9" s="13" t="s">
        <v>94</v>
      </c>
      <c r="L9" s="13" t="s">
        <v>152</v>
      </c>
      <c r="M9" s="13" t="s">
        <v>96</v>
      </c>
      <c r="N9" s="13" t="s">
        <v>97</v>
      </c>
      <c r="O9" s="13" t="s">
        <v>94</v>
      </c>
      <c r="P9" s="13" t="s">
        <v>46</v>
      </c>
      <c r="Q9" s="13" t="s">
        <v>161</v>
      </c>
      <c r="R9" s="14" t="s">
        <v>20</v>
      </c>
      <c r="S9" s="14"/>
      <c r="T9" s="14"/>
      <c r="U9" s="14"/>
      <c r="V9" s="14"/>
      <c r="W9" s="14"/>
      <c r="X9" s="14"/>
    </row>
    <row r="10" customFormat="false" ht="23.25" hidden="false" customHeight="true" outlineLevel="0" collapsed="false">
      <c r="A10" s="13" t="s">
        <v>162</v>
      </c>
      <c r="B10" s="13" t="s">
        <v>31</v>
      </c>
      <c r="C10" s="13" t="s">
        <v>163</v>
      </c>
      <c r="D10" s="13" t="s">
        <v>164</v>
      </c>
      <c r="E10" s="13" t="s">
        <v>165</v>
      </c>
      <c r="F10" s="13" t="s">
        <v>56</v>
      </c>
      <c r="G10" s="13" t="s">
        <v>90</v>
      </c>
      <c r="H10" s="13" t="s">
        <v>166</v>
      </c>
      <c r="I10" s="13" t="s">
        <v>167</v>
      </c>
      <c r="J10" s="13" t="s">
        <v>93</v>
      </c>
      <c r="K10" s="13" t="s">
        <v>94</v>
      </c>
      <c r="L10" s="13" t="s">
        <v>168</v>
      </c>
      <c r="M10" s="13" t="s">
        <v>96</v>
      </c>
      <c r="N10" s="13" t="s">
        <v>97</v>
      </c>
      <c r="O10" s="13" t="s">
        <v>94</v>
      </c>
      <c r="P10" s="13" t="s">
        <v>47</v>
      </c>
      <c r="Q10" s="13"/>
      <c r="R10" s="14" t="s">
        <v>20</v>
      </c>
      <c r="S10" s="14"/>
      <c r="T10" s="14"/>
      <c r="U10" s="14"/>
      <c r="V10" s="14"/>
      <c r="W10" s="14"/>
      <c r="X10" s="14"/>
    </row>
    <row r="11" customFormat="false" ht="23.25" hidden="false" customHeight="true" outlineLevel="0" collapsed="false">
      <c r="A11" s="13" t="s">
        <v>169</v>
      </c>
      <c r="B11" s="13" t="s">
        <v>31</v>
      </c>
      <c r="C11" s="13" t="s">
        <v>170</v>
      </c>
      <c r="D11" s="13" t="s">
        <v>171</v>
      </c>
      <c r="E11" s="13" t="s">
        <v>172</v>
      </c>
      <c r="F11" s="13" t="s">
        <v>56</v>
      </c>
      <c r="G11" s="13" t="s">
        <v>90</v>
      </c>
      <c r="H11" s="13" t="s">
        <v>173</v>
      </c>
      <c r="I11" s="13" t="s">
        <v>174</v>
      </c>
      <c r="J11" s="13" t="s">
        <v>94</v>
      </c>
      <c r="K11" s="13" t="s">
        <v>94</v>
      </c>
      <c r="L11" s="13" t="s">
        <v>152</v>
      </c>
      <c r="M11" s="13" t="s">
        <v>96</v>
      </c>
      <c r="N11" s="13" t="s">
        <v>97</v>
      </c>
      <c r="O11" s="13" t="s">
        <v>94</v>
      </c>
      <c r="P11" s="13" t="s">
        <v>46</v>
      </c>
      <c r="Q11" s="13" t="s">
        <v>175</v>
      </c>
      <c r="R11" s="14" t="s">
        <v>20</v>
      </c>
      <c r="S11" s="14"/>
      <c r="T11" s="14"/>
      <c r="U11" s="14"/>
      <c r="V11" s="14"/>
      <c r="W11" s="14"/>
      <c r="X11" s="14"/>
    </row>
    <row r="12" customFormat="false" ht="23.25" hidden="false" customHeight="true" outlineLevel="0" collapsed="false">
      <c r="A12" s="13" t="s">
        <v>176</v>
      </c>
      <c r="B12" s="13" t="s">
        <v>31</v>
      </c>
      <c r="C12" s="13" t="s">
        <v>177</v>
      </c>
      <c r="D12" s="13" t="s">
        <v>178</v>
      </c>
      <c r="E12" s="13" t="s">
        <v>179</v>
      </c>
      <c r="F12" s="13" t="s">
        <v>56</v>
      </c>
      <c r="G12" s="13" t="s">
        <v>90</v>
      </c>
      <c r="H12" s="13" t="s">
        <v>180</v>
      </c>
      <c r="I12" s="13" t="s">
        <v>181</v>
      </c>
      <c r="J12" s="13" t="s">
        <v>94</v>
      </c>
      <c r="K12" s="13" t="s">
        <v>182</v>
      </c>
      <c r="L12" s="13" t="s">
        <v>183</v>
      </c>
      <c r="M12" s="13" t="s">
        <v>184</v>
      </c>
      <c r="N12" s="13" t="s">
        <v>185</v>
      </c>
      <c r="O12" s="13" t="s">
        <v>94</v>
      </c>
      <c r="P12" s="13" t="s">
        <v>46</v>
      </c>
      <c r="Q12" s="13" t="s">
        <v>186</v>
      </c>
      <c r="R12" s="14" t="s">
        <v>20</v>
      </c>
      <c r="S12" s="14"/>
      <c r="T12" s="14"/>
      <c r="U12" s="14"/>
      <c r="V12" s="14"/>
      <c r="W12" s="14"/>
      <c r="X12" s="14"/>
    </row>
    <row r="13" customFormat="false" ht="23.25" hidden="false" customHeight="true" outlineLevel="0" collapsed="false">
      <c r="A13" s="13" t="s">
        <v>187</v>
      </c>
      <c r="B13" s="13" t="s">
        <v>31</v>
      </c>
      <c r="C13" s="13" t="s">
        <v>188</v>
      </c>
      <c r="D13" s="13" t="s">
        <v>189</v>
      </c>
      <c r="E13" s="13" t="s">
        <v>190</v>
      </c>
      <c r="F13" s="13" t="s">
        <v>52</v>
      </c>
      <c r="G13" s="13" t="s">
        <v>90</v>
      </c>
      <c r="H13" s="13" t="s">
        <v>191</v>
      </c>
      <c r="I13" s="13" t="s">
        <v>192</v>
      </c>
      <c r="J13" s="13" t="s">
        <v>193</v>
      </c>
      <c r="K13" s="13" t="s">
        <v>94</v>
      </c>
      <c r="L13" s="13" t="s">
        <v>194</v>
      </c>
      <c r="M13" s="13" t="s">
        <v>195</v>
      </c>
      <c r="N13" s="13" t="s">
        <v>94</v>
      </c>
      <c r="O13" s="13" t="s">
        <v>94</v>
      </c>
      <c r="P13" s="13" t="s">
        <v>46</v>
      </c>
      <c r="Q13" s="13" t="s">
        <v>196</v>
      </c>
      <c r="R13" s="14" t="s">
        <v>20</v>
      </c>
      <c r="S13" s="14"/>
      <c r="T13" s="14"/>
      <c r="U13" s="14"/>
      <c r="V13" s="14"/>
      <c r="W13" s="14"/>
      <c r="X13" s="14"/>
    </row>
    <row r="14" customFormat="false" ht="34.5" hidden="false" customHeight="true" outlineLevel="0" collapsed="false">
      <c r="A14" s="13" t="s">
        <v>197</v>
      </c>
      <c r="B14" s="13" t="s">
        <v>31</v>
      </c>
      <c r="C14" s="13" t="s">
        <v>198</v>
      </c>
      <c r="D14" s="13" t="s">
        <v>199</v>
      </c>
      <c r="E14" s="13" t="s">
        <v>200</v>
      </c>
      <c r="F14" s="13" t="s">
        <v>56</v>
      </c>
      <c r="G14" s="13" t="s">
        <v>47</v>
      </c>
      <c r="H14" s="13" t="s">
        <v>201</v>
      </c>
      <c r="I14" s="13" t="s">
        <v>202</v>
      </c>
      <c r="J14" s="13" t="s">
        <v>203</v>
      </c>
      <c r="K14" s="13" t="s">
        <v>94</v>
      </c>
      <c r="L14" s="13" t="s">
        <v>204</v>
      </c>
      <c r="M14" s="13" t="s">
        <v>205</v>
      </c>
      <c r="N14" s="13" t="s">
        <v>185</v>
      </c>
      <c r="O14" s="13" t="s">
        <v>94</v>
      </c>
      <c r="P14" s="13" t="s">
        <v>18</v>
      </c>
      <c r="Q14" s="13" t="s">
        <v>206</v>
      </c>
      <c r="R14" s="14" t="s">
        <v>20</v>
      </c>
      <c r="S14" s="14"/>
      <c r="T14" s="14"/>
      <c r="U14" s="14"/>
      <c r="V14" s="14"/>
      <c r="W14" s="14"/>
      <c r="X14" s="14"/>
    </row>
    <row r="15" customFormat="false" ht="23.25" hidden="false" customHeight="true" outlineLevel="0" collapsed="false">
      <c r="A15" s="13" t="s">
        <v>207</v>
      </c>
      <c r="B15" s="13" t="s">
        <v>31</v>
      </c>
      <c r="C15" s="13" t="s">
        <v>208</v>
      </c>
      <c r="D15" s="13" t="s">
        <v>209</v>
      </c>
      <c r="E15" s="13" t="s">
        <v>210</v>
      </c>
      <c r="F15" s="13" t="s">
        <v>52</v>
      </c>
      <c r="G15" s="13" t="s">
        <v>47</v>
      </c>
      <c r="H15" s="13" t="s">
        <v>211</v>
      </c>
      <c r="I15" s="13" t="s">
        <v>212</v>
      </c>
      <c r="J15" s="13" t="s">
        <v>94</v>
      </c>
      <c r="K15" s="13" t="s">
        <v>94</v>
      </c>
      <c r="L15" s="13" t="s">
        <v>152</v>
      </c>
      <c r="M15" s="13" t="s">
        <v>96</v>
      </c>
      <c r="N15" s="13" t="s">
        <v>94</v>
      </c>
      <c r="O15" s="13" t="s">
        <v>94</v>
      </c>
      <c r="P15" s="13" t="s">
        <v>47</v>
      </c>
      <c r="Q15" s="13"/>
      <c r="R15" s="14" t="s">
        <v>20</v>
      </c>
      <c r="S15" s="14"/>
      <c r="T15" s="14"/>
      <c r="U15" s="14"/>
      <c r="V15" s="14"/>
      <c r="W15" s="14"/>
      <c r="X15" s="14"/>
    </row>
    <row r="16" customFormat="false" ht="45.75" hidden="false" customHeight="true" outlineLevel="0" collapsed="false">
      <c r="A16" s="13" t="s">
        <v>213</v>
      </c>
      <c r="B16" s="13" t="s">
        <v>32</v>
      </c>
      <c r="C16" s="13" t="s">
        <v>214</v>
      </c>
      <c r="D16" s="13" t="s">
        <v>215</v>
      </c>
      <c r="E16" s="13" t="s">
        <v>216</v>
      </c>
      <c r="F16" s="13" t="s">
        <v>52</v>
      </c>
      <c r="G16" s="13" t="s">
        <v>47</v>
      </c>
      <c r="H16" s="13" t="s">
        <v>217</v>
      </c>
      <c r="I16" s="13" t="s">
        <v>218</v>
      </c>
      <c r="J16" s="13" t="s">
        <v>93</v>
      </c>
      <c r="K16" s="13" t="s">
        <v>94</v>
      </c>
      <c r="L16" s="13" t="s">
        <v>219</v>
      </c>
      <c r="M16" s="13" t="s">
        <v>220</v>
      </c>
      <c r="N16" s="13" t="s">
        <v>97</v>
      </c>
      <c r="O16" s="13" t="s">
        <v>94</v>
      </c>
      <c r="P16" s="13" t="s">
        <v>46</v>
      </c>
      <c r="Q16" s="13" t="s">
        <v>221</v>
      </c>
      <c r="R16" s="14" t="s">
        <v>20</v>
      </c>
      <c r="S16" s="14"/>
      <c r="T16" s="14"/>
      <c r="U16" s="14"/>
      <c r="V16" s="14"/>
      <c r="W16" s="14"/>
      <c r="X16" s="14"/>
    </row>
    <row r="17" customFormat="false" ht="23.25" hidden="false" customHeight="true" outlineLevel="0" collapsed="false">
      <c r="A17" s="13" t="s">
        <v>222</v>
      </c>
      <c r="B17" s="13" t="s">
        <v>32</v>
      </c>
      <c r="C17" s="13" t="s">
        <v>223</v>
      </c>
      <c r="D17" s="13" t="s">
        <v>224</v>
      </c>
      <c r="E17" s="13" t="s">
        <v>225</v>
      </c>
      <c r="F17" s="13" t="s">
        <v>52</v>
      </c>
      <c r="G17" s="13" t="s">
        <v>47</v>
      </c>
      <c r="H17" s="13" t="s">
        <v>226</v>
      </c>
      <c r="I17" s="13" t="s">
        <v>227</v>
      </c>
      <c r="J17" s="13" t="s">
        <v>93</v>
      </c>
      <c r="K17" s="13" t="s">
        <v>94</v>
      </c>
      <c r="L17" s="13" t="s">
        <v>228</v>
      </c>
      <c r="M17" s="13" t="s">
        <v>229</v>
      </c>
      <c r="N17" s="13" t="s">
        <v>97</v>
      </c>
      <c r="O17" s="13" t="s">
        <v>94</v>
      </c>
      <c r="P17" s="13" t="s">
        <v>46</v>
      </c>
      <c r="Q17" s="13" t="s">
        <v>230</v>
      </c>
      <c r="R17" s="14" t="s">
        <v>20</v>
      </c>
      <c r="S17" s="14"/>
      <c r="T17" s="14"/>
      <c r="U17" s="14"/>
      <c r="V17" s="14"/>
      <c r="W17" s="14"/>
      <c r="X17" s="14"/>
    </row>
    <row r="18" customFormat="false" ht="23.25" hidden="false" customHeight="true" outlineLevel="0" collapsed="false">
      <c r="A18" s="13" t="s">
        <v>231</v>
      </c>
      <c r="B18" s="13" t="s">
        <v>32</v>
      </c>
      <c r="C18" s="13" t="s">
        <v>232</v>
      </c>
      <c r="D18" s="13" t="s">
        <v>233</v>
      </c>
      <c r="E18" s="13" t="s">
        <v>234</v>
      </c>
      <c r="F18" s="13" t="s">
        <v>56</v>
      </c>
      <c r="G18" s="13" t="s">
        <v>47</v>
      </c>
      <c r="H18" s="13" t="s">
        <v>235</v>
      </c>
      <c r="I18" s="13" t="s">
        <v>236</v>
      </c>
      <c r="J18" s="13" t="s">
        <v>237</v>
      </c>
      <c r="K18" s="13" t="s">
        <v>94</v>
      </c>
      <c r="L18" s="13" t="s">
        <v>238</v>
      </c>
      <c r="M18" s="13" t="s">
        <v>220</v>
      </c>
      <c r="N18" s="13" t="s">
        <v>97</v>
      </c>
      <c r="O18" s="13" t="s">
        <v>94</v>
      </c>
      <c r="P18" s="13" t="s">
        <v>46</v>
      </c>
      <c r="Q18" s="13" t="s">
        <v>239</v>
      </c>
      <c r="R18" s="14" t="s">
        <v>20</v>
      </c>
      <c r="S18" s="14"/>
      <c r="T18" s="14"/>
      <c r="U18" s="14"/>
      <c r="V18" s="14"/>
      <c r="W18" s="14"/>
      <c r="X18" s="14"/>
    </row>
    <row r="19" customFormat="false" ht="23.25" hidden="false" customHeight="true" outlineLevel="0" collapsed="false">
      <c r="A19" s="13" t="s">
        <v>240</v>
      </c>
      <c r="B19" s="13" t="s">
        <v>32</v>
      </c>
      <c r="C19" s="13" t="s">
        <v>241</v>
      </c>
      <c r="D19" s="13" t="s">
        <v>242</v>
      </c>
      <c r="E19" s="13" t="s">
        <v>243</v>
      </c>
      <c r="F19" s="13" t="s">
        <v>56</v>
      </c>
      <c r="G19" s="13" t="s">
        <v>47</v>
      </c>
      <c r="H19" s="13" t="s">
        <v>244</v>
      </c>
      <c r="I19" s="13" t="s">
        <v>245</v>
      </c>
      <c r="J19" s="13" t="s">
        <v>94</v>
      </c>
      <c r="K19" s="13" t="s">
        <v>94</v>
      </c>
      <c r="L19" s="13" t="s">
        <v>246</v>
      </c>
      <c r="M19" s="13" t="s">
        <v>96</v>
      </c>
      <c r="N19" s="13" t="s">
        <v>97</v>
      </c>
      <c r="O19" s="13" t="s">
        <v>94</v>
      </c>
      <c r="P19" s="13" t="s">
        <v>47</v>
      </c>
      <c r="Q19" s="13"/>
      <c r="R19" s="14" t="s">
        <v>20</v>
      </c>
      <c r="S19" s="14"/>
      <c r="T19" s="14"/>
      <c r="U19" s="14"/>
      <c r="V19" s="14"/>
      <c r="W19" s="14"/>
      <c r="X19" s="14"/>
    </row>
    <row r="20" customFormat="false" ht="23.25" hidden="false" customHeight="true" outlineLevel="0" collapsed="false">
      <c r="A20" s="13" t="s">
        <v>247</v>
      </c>
      <c r="B20" s="13" t="s">
        <v>32</v>
      </c>
      <c r="C20" s="13" t="s">
        <v>248</v>
      </c>
      <c r="D20" s="13" t="s">
        <v>249</v>
      </c>
      <c r="E20" s="13" t="s">
        <v>250</v>
      </c>
      <c r="F20" s="13" t="s">
        <v>56</v>
      </c>
      <c r="G20" s="13" t="s">
        <v>47</v>
      </c>
      <c r="H20" s="13" t="s">
        <v>251</v>
      </c>
      <c r="I20" s="13" t="s">
        <v>252</v>
      </c>
      <c r="J20" s="13" t="s">
        <v>94</v>
      </c>
      <c r="K20" s="13" t="s">
        <v>94</v>
      </c>
      <c r="L20" s="13" t="s">
        <v>253</v>
      </c>
      <c r="M20" s="13" t="s">
        <v>254</v>
      </c>
      <c r="N20" s="13" t="s">
        <v>142</v>
      </c>
      <c r="O20" s="13" t="s">
        <v>94</v>
      </c>
      <c r="P20" s="13" t="s">
        <v>18</v>
      </c>
      <c r="Q20" s="13" t="s">
        <v>255</v>
      </c>
      <c r="R20" s="14" t="s">
        <v>20</v>
      </c>
      <c r="S20" s="14"/>
      <c r="T20" s="14"/>
      <c r="U20" s="14"/>
      <c r="V20" s="14"/>
      <c r="W20" s="14"/>
      <c r="X20" s="14"/>
    </row>
    <row r="21" customFormat="false" ht="23.25" hidden="false" customHeight="true" outlineLevel="0" collapsed="false">
      <c r="A21" s="13" t="s">
        <v>256</v>
      </c>
      <c r="B21" s="13" t="s">
        <v>32</v>
      </c>
      <c r="C21" s="13" t="s">
        <v>257</v>
      </c>
      <c r="D21" s="13" t="s">
        <v>258</v>
      </c>
      <c r="E21" s="13" t="s">
        <v>259</v>
      </c>
      <c r="F21" s="13" t="s">
        <v>60</v>
      </c>
      <c r="G21" s="13" t="s">
        <v>47</v>
      </c>
      <c r="H21" s="13" t="s">
        <v>260</v>
      </c>
      <c r="I21" s="13" t="s">
        <v>261</v>
      </c>
      <c r="J21" s="13" t="s">
        <v>93</v>
      </c>
      <c r="K21" s="13" t="s">
        <v>94</v>
      </c>
      <c r="L21" s="13" t="s">
        <v>262</v>
      </c>
      <c r="M21" s="13" t="s">
        <v>96</v>
      </c>
      <c r="N21" s="13" t="s">
        <v>97</v>
      </c>
      <c r="O21" s="13" t="s">
        <v>94</v>
      </c>
      <c r="P21" s="13" t="s">
        <v>18</v>
      </c>
      <c r="Q21" s="13"/>
      <c r="R21" s="14" t="s">
        <v>20</v>
      </c>
      <c r="S21" s="14"/>
      <c r="T21" s="14"/>
      <c r="U21" s="14"/>
      <c r="V21" s="14"/>
      <c r="W21" s="14"/>
      <c r="X21" s="14"/>
    </row>
    <row r="22" customFormat="false" ht="34.5" hidden="false" customHeight="true" outlineLevel="0" collapsed="false">
      <c r="A22" s="13" t="s">
        <v>263</v>
      </c>
      <c r="B22" s="13" t="s">
        <v>33</v>
      </c>
      <c r="C22" s="13" t="s">
        <v>264</v>
      </c>
      <c r="D22" s="13" t="s">
        <v>265</v>
      </c>
      <c r="E22" s="13" t="s">
        <v>266</v>
      </c>
      <c r="F22" s="13" t="s">
        <v>52</v>
      </c>
      <c r="G22" s="13" t="s">
        <v>47</v>
      </c>
      <c r="H22" s="13" t="s">
        <v>267</v>
      </c>
      <c r="I22" s="13" t="s">
        <v>268</v>
      </c>
      <c r="J22" s="13" t="s">
        <v>269</v>
      </c>
      <c r="K22" s="13" t="s">
        <v>270</v>
      </c>
      <c r="L22" s="13" t="s">
        <v>271</v>
      </c>
      <c r="M22" s="13" t="s">
        <v>272</v>
      </c>
      <c r="N22" s="13" t="s">
        <v>94</v>
      </c>
      <c r="O22" s="13" t="s">
        <v>94</v>
      </c>
      <c r="P22" s="13" t="s">
        <v>47</v>
      </c>
      <c r="Q22" s="13"/>
      <c r="R22" s="14" t="s">
        <v>20</v>
      </c>
      <c r="S22" s="14"/>
      <c r="T22" s="14"/>
      <c r="U22" s="14"/>
      <c r="V22" s="14"/>
      <c r="W22" s="14"/>
      <c r="X22" s="14"/>
    </row>
    <row r="23" customFormat="false" ht="23.25" hidden="false" customHeight="true" outlineLevel="0" collapsed="false">
      <c r="A23" s="13" t="s">
        <v>273</v>
      </c>
      <c r="B23" s="13" t="s">
        <v>33</v>
      </c>
      <c r="C23" s="13" t="s">
        <v>274</v>
      </c>
      <c r="D23" s="13" t="s">
        <v>275</v>
      </c>
      <c r="E23" s="13" t="s">
        <v>276</v>
      </c>
      <c r="F23" s="13" t="s">
        <v>52</v>
      </c>
      <c r="G23" s="13" t="s">
        <v>90</v>
      </c>
      <c r="H23" s="13" t="s">
        <v>277</v>
      </c>
      <c r="I23" s="13" t="s">
        <v>278</v>
      </c>
      <c r="J23" s="13" t="s">
        <v>279</v>
      </c>
      <c r="K23" s="13" t="s">
        <v>270</v>
      </c>
      <c r="L23" s="13" t="s">
        <v>194</v>
      </c>
      <c r="M23" s="13" t="s">
        <v>195</v>
      </c>
      <c r="N23" s="13" t="s">
        <v>94</v>
      </c>
      <c r="O23" s="13" t="s">
        <v>94</v>
      </c>
      <c r="P23" s="13" t="s">
        <v>46</v>
      </c>
      <c r="Q23" s="13" t="s">
        <v>280</v>
      </c>
      <c r="R23" s="14" t="s">
        <v>20</v>
      </c>
      <c r="S23" s="14"/>
      <c r="T23" s="14"/>
      <c r="U23" s="14"/>
      <c r="V23" s="14"/>
      <c r="W23" s="14"/>
      <c r="X23" s="14"/>
    </row>
    <row r="24" customFormat="false" ht="34.5" hidden="false" customHeight="true" outlineLevel="0" collapsed="false">
      <c r="A24" s="13" t="s">
        <v>281</v>
      </c>
      <c r="B24" s="13" t="s">
        <v>33</v>
      </c>
      <c r="C24" s="13" t="s">
        <v>282</v>
      </c>
      <c r="D24" s="13" t="s">
        <v>283</v>
      </c>
      <c r="E24" s="13" t="s">
        <v>284</v>
      </c>
      <c r="F24" s="13" t="s">
        <v>52</v>
      </c>
      <c r="G24" s="13" t="s">
        <v>47</v>
      </c>
      <c r="H24" s="13" t="s">
        <v>285</v>
      </c>
      <c r="I24" s="13" t="s">
        <v>286</v>
      </c>
      <c r="J24" s="13" t="s">
        <v>287</v>
      </c>
      <c r="K24" s="13" t="s">
        <v>288</v>
      </c>
      <c r="L24" s="13" t="s">
        <v>289</v>
      </c>
      <c r="M24" s="13" t="s">
        <v>290</v>
      </c>
      <c r="N24" s="13" t="s">
        <v>94</v>
      </c>
      <c r="O24" s="13" t="s">
        <v>94</v>
      </c>
      <c r="P24" s="13" t="s">
        <v>47</v>
      </c>
      <c r="Q24" s="13"/>
      <c r="R24" s="14" t="s">
        <v>20</v>
      </c>
      <c r="S24" s="14"/>
      <c r="T24" s="14"/>
      <c r="U24" s="14"/>
      <c r="V24" s="14"/>
      <c r="W24" s="14"/>
      <c r="X24" s="14"/>
    </row>
    <row r="25" customFormat="false" ht="23.25" hidden="false" customHeight="true" outlineLevel="0" collapsed="false">
      <c r="A25" s="13" t="s">
        <v>291</v>
      </c>
      <c r="B25" s="13" t="s">
        <v>33</v>
      </c>
      <c r="C25" s="13" t="s">
        <v>292</v>
      </c>
      <c r="D25" s="13" t="s">
        <v>293</v>
      </c>
      <c r="E25" s="13" t="s">
        <v>294</v>
      </c>
      <c r="F25" s="13" t="s">
        <v>52</v>
      </c>
      <c r="G25" s="13" t="s">
        <v>47</v>
      </c>
      <c r="H25" s="13" t="s">
        <v>295</v>
      </c>
      <c r="I25" s="13" t="s">
        <v>296</v>
      </c>
      <c r="J25" s="13" t="s">
        <v>297</v>
      </c>
      <c r="K25" s="13" t="s">
        <v>270</v>
      </c>
      <c r="L25" s="13" t="s">
        <v>298</v>
      </c>
      <c r="M25" s="13" t="s">
        <v>299</v>
      </c>
      <c r="N25" s="13" t="s">
        <v>94</v>
      </c>
      <c r="O25" s="13" t="s">
        <v>94</v>
      </c>
      <c r="P25" s="13" t="s">
        <v>46</v>
      </c>
      <c r="Q25" s="13" t="s">
        <v>300</v>
      </c>
      <c r="R25" s="14" t="s">
        <v>20</v>
      </c>
      <c r="S25" s="14"/>
      <c r="T25" s="14"/>
      <c r="U25" s="14"/>
      <c r="V25" s="14"/>
      <c r="W25" s="14"/>
      <c r="X25" s="14"/>
    </row>
    <row r="26" customFormat="false" ht="34.5" hidden="false" customHeight="true" outlineLevel="0" collapsed="false">
      <c r="A26" s="13" t="s">
        <v>301</v>
      </c>
      <c r="B26" s="13" t="s">
        <v>33</v>
      </c>
      <c r="C26" s="13" t="s">
        <v>302</v>
      </c>
      <c r="D26" s="13" t="s">
        <v>303</v>
      </c>
      <c r="E26" s="13" t="s">
        <v>304</v>
      </c>
      <c r="F26" s="13" t="s">
        <v>56</v>
      </c>
      <c r="G26" s="13" t="s">
        <v>47</v>
      </c>
      <c r="H26" s="13" t="s">
        <v>305</v>
      </c>
      <c r="I26" s="13" t="s">
        <v>306</v>
      </c>
      <c r="J26" s="13" t="s">
        <v>307</v>
      </c>
      <c r="K26" s="13" t="s">
        <v>308</v>
      </c>
      <c r="L26" s="13" t="s">
        <v>194</v>
      </c>
      <c r="M26" s="13" t="s">
        <v>290</v>
      </c>
      <c r="N26" s="13" t="s">
        <v>94</v>
      </c>
      <c r="O26" s="13" t="s">
        <v>94</v>
      </c>
      <c r="P26" s="13" t="s">
        <v>47</v>
      </c>
      <c r="Q26" s="13"/>
      <c r="R26" s="14" t="s">
        <v>20</v>
      </c>
      <c r="S26" s="14"/>
      <c r="T26" s="14"/>
      <c r="U26" s="14"/>
      <c r="V26" s="14"/>
      <c r="W26" s="14"/>
      <c r="X26" s="14"/>
    </row>
    <row r="27" customFormat="false" ht="23.25" hidden="false" customHeight="true" outlineLevel="0" collapsed="false">
      <c r="A27" s="13" t="s">
        <v>309</v>
      </c>
      <c r="B27" s="13" t="s">
        <v>33</v>
      </c>
      <c r="C27" s="13" t="s">
        <v>310</v>
      </c>
      <c r="D27" s="13" t="s">
        <v>311</v>
      </c>
      <c r="E27" s="13" t="s">
        <v>312</v>
      </c>
      <c r="F27" s="13" t="s">
        <v>56</v>
      </c>
      <c r="G27" s="13" t="s">
        <v>47</v>
      </c>
      <c r="H27" s="13" t="s">
        <v>313</v>
      </c>
      <c r="I27" s="13" t="s">
        <v>314</v>
      </c>
      <c r="J27" s="13" t="s">
        <v>93</v>
      </c>
      <c r="K27" s="13" t="s">
        <v>288</v>
      </c>
      <c r="L27" s="13" t="s">
        <v>315</v>
      </c>
      <c r="M27" s="13" t="s">
        <v>316</v>
      </c>
      <c r="N27" s="13" t="s">
        <v>94</v>
      </c>
      <c r="O27" s="13" t="s">
        <v>94</v>
      </c>
      <c r="P27" s="13" t="s">
        <v>18</v>
      </c>
      <c r="Q27" s="13"/>
      <c r="R27" s="14" t="s">
        <v>20</v>
      </c>
      <c r="S27" s="14"/>
      <c r="T27" s="14"/>
      <c r="U27" s="14"/>
      <c r="V27" s="14"/>
      <c r="W27" s="14"/>
      <c r="X27" s="14"/>
    </row>
    <row r="28" customFormat="false" ht="23.25" hidden="false" customHeight="true" outlineLevel="0" collapsed="false">
      <c r="A28" s="13" t="s">
        <v>317</v>
      </c>
      <c r="B28" s="13" t="s">
        <v>34</v>
      </c>
      <c r="C28" s="13" t="s">
        <v>318</v>
      </c>
      <c r="D28" s="13" t="s">
        <v>319</v>
      </c>
      <c r="E28" s="13" t="s">
        <v>320</v>
      </c>
      <c r="F28" s="13" t="s">
        <v>56</v>
      </c>
      <c r="G28" s="13" t="s">
        <v>90</v>
      </c>
      <c r="H28" s="13" t="s">
        <v>321</v>
      </c>
      <c r="I28" s="13" t="s">
        <v>322</v>
      </c>
      <c r="J28" s="13" t="s">
        <v>93</v>
      </c>
      <c r="K28" s="13" t="s">
        <v>94</v>
      </c>
      <c r="L28" s="13" t="s">
        <v>323</v>
      </c>
      <c r="M28" s="13" t="s">
        <v>324</v>
      </c>
      <c r="N28" s="13" t="s">
        <v>115</v>
      </c>
      <c r="O28" s="13" t="s">
        <v>94</v>
      </c>
      <c r="P28" s="13" t="s">
        <v>47</v>
      </c>
      <c r="Q28" s="13"/>
      <c r="R28" s="14" t="s">
        <v>20</v>
      </c>
      <c r="S28" s="14"/>
      <c r="T28" s="14"/>
      <c r="U28" s="14"/>
      <c r="V28" s="14"/>
      <c r="W28" s="14"/>
      <c r="X28" s="14"/>
    </row>
    <row r="29" customFormat="false" ht="23.25" hidden="false" customHeight="true" outlineLevel="0" collapsed="false">
      <c r="A29" s="13" t="s">
        <v>325</v>
      </c>
      <c r="B29" s="13" t="s">
        <v>34</v>
      </c>
      <c r="C29" s="13" t="s">
        <v>326</v>
      </c>
      <c r="D29" s="13" t="s">
        <v>327</v>
      </c>
      <c r="E29" s="13" t="s">
        <v>328</v>
      </c>
      <c r="F29" s="13" t="s">
        <v>56</v>
      </c>
      <c r="G29" s="13" t="s">
        <v>90</v>
      </c>
      <c r="H29" s="13" t="s">
        <v>329</v>
      </c>
      <c r="I29" s="13" t="s">
        <v>330</v>
      </c>
      <c r="J29" s="13" t="s">
        <v>93</v>
      </c>
      <c r="K29" s="13" t="s">
        <v>94</v>
      </c>
      <c r="L29" s="13" t="s">
        <v>331</v>
      </c>
      <c r="M29" s="13" t="s">
        <v>316</v>
      </c>
      <c r="N29" s="13" t="s">
        <v>115</v>
      </c>
      <c r="O29" s="13" t="s">
        <v>94</v>
      </c>
      <c r="P29" s="13" t="s">
        <v>46</v>
      </c>
      <c r="Q29" s="13" t="s">
        <v>332</v>
      </c>
      <c r="R29" s="14" t="s">
        <v>20</v>
      </c>
      <c r="S29" s="14"/>
      <c r="T29" s="14"/>
      <c r="U29" s="14"/>
      <c r="V29" s="14"/>
      <c r="W29" s="14"/>
      <c r="X29" s="14"/>
    </row>
    <row r="30" customFormat="false" ht="34.5" hidden="false" customHeight="true" outlineLevel="0" collapsed="false">
      <c r="A30" s="13" t="s">
        <v>333</v>
      </c>
      <c r="B30" s="13" t="s">
        <v>34</v>
      </c>
      <c r="C30" s="13" t="s">
        <v>334</v>
      </c>
      <c r="D30" s="13" t="s">
        <v>335</v>
      </c>
      <c r="E30" s="13" t="s">
        <v>336</v>
      </c>
      <c r="F30" s="13" t="s">
        <v>60</v>
      </c>
      <c r="G30" s="13" t="s">
        <v>90</v>
      </c>
      <c r="H30" s="13" t="s">
        <v>337</v>
      </c>
      <c r="I30" s="13" t="s">
        <v>338</v>
      </c>
      <c r="J30" s="13" t="s">
        <v>93</v>
      </c>
      <c r="K30" s="13" t="s">
        <v>94</v>
      </c>
      <c r="L30" s="13" t="s">
        <v>339</v>
      </c>
      <c r="M30" s="13" t="s">
        <v>324</v>
      </c>
      <c r="N30" s="13" t="s">
        <v>115</v>
      </c>
      <c r="O30" s="13" t="s">
        <v>94</v>
      </c>
      <c r="P30" s="13" t="s">
        <v>47</v>
      </c>
      <c r="Q30" s="13"/>
      <c r="R30" s="14" t="s">
        <v>20</v>
      </c>
      <c r="S30" s="14"/>
      <c r="T30" s="14"/>
      <c r="U30" s="14"/>
      <c r="V30" s="14"/>
      <c r="W30" s="14"/>
      <c r="X30" s="14"/>
    </row>
    <row r="31" customFormat="false" ht="34.5" hidden="false" customHeight="true" outlineLevel="0" collapsed="false">
      <c r="A31" s="13" t="s">
        <v>340</v>
      </c>
      <c r="B31" s="13" t="s">
        <v>34</v>
      </c>
      <c r="C31" s="13" t="s">
        <v>341</v>
      </c>
      <c r="D31" s="13" t="s">
        <v>342</v>
      </c>
      <c r="E31" s="13" t="s">
        <v>343</v>
      </c>
      <c r="F31" s="13" t="s">
        <v>56</v>
      </c>
      <c r="G31" s="13" t="s">
        <v>90</v>
      </c>
      <c r="H31" s="13" t="s">
        <v>344</v>
      </c>
      <c r="I31" s="13" t="s">
        <v>345</v>
      </c>
      <c r="J31" s="13" t="s">
        <v>94</v>
      </c>
      <c r="K31" s="13" t="s">
        <v>94</v>
      </c>
      <c r="L31" s="13" t="s">
        <v>323</v>
      </c>
      <c r="M31" s="13" t="s">
        <v>324</v>
      </c>
      <c r="N31" s="13" t="s">
        <v>115</v>
      </c>
      <c r="O31" s="13" t="s">
        <v>94</v>
      </c>
      <c r="P31" s="13" t="s">
        <v>18</v>
      </c>
      <c r="Q31" s="13" t="s">
        <v>346</v>
      </c>
      <c r="R31" s="14" t="s">
        <v>20</v>
      </c>
      <c r="S31" s="14"/>
      <c r="T31" s="14"/>
      <c r="U31" s="14"/>
      <c r="V31" s="14"/>
      <c r="W31" s="14"/>
      <c r="X31" s="14"/>
    </row>
    <row r="32" customFormat="false" ht="34.5" hidden="false" customHeight="true" outlineLevel="0" collapsed="false">
      <c r="A32" s="13" t="s">
        <v>347</v>
      </c>
      <c r="B32" s="13" t="s">
        <v>34</v>
      </c>
      <c r="C32" s="13" t="s">
        <v>348</v>
      </c>
      <c r="D32" s="13" t="s">
        <v>349</v>
      </c>
      <c r="E32" s="13" t="s">
        <v>350</v>
      </c>
      <c r="F32" s="13" t="s">
        <v>56</v>
      </c>
      <c r="G32" s="13" t="s">
        <v>90</v>
      </c>
      <c r="H32" s="13" t="s">
        <v>351</v>
      </c>
      <c r="I32" s="13" t="s">
        <v>352</v>
      </c>
      <c r="J32" s="13" t="s">
        <v>353</v>
      </c>
      <c r="K32" s="13" t="s">
        <v>94</v>
      </c>
      <c r="L32" s="13" t="s">
        <v>194</v>
      </c>
      <c r="M32" s="13" t="s">
        <v>195</v>
      </c>
      <c r="N32" s="13" t="s">
        <v>94</v>
      </c>
      <c r="O32" s="13" t="s">
        <v>354</v>
      </c>
      <c r="P32" s="13" t="s">
        <v>18</v>
      </c>
      <c r="Q32" s="13" t="s">
        <v>355</v>
      </c>
      <c r="R32" s="14" t="s">
        <v>20</v>
      </c>
      <c r="S32" s="14"/>
      <c r="T32" s="14"/>
      <c r="U32" s="14"/>
      <c r="V32" s="14"/>
      <c r="W32" s="14"/>
      <c r="X32" s="14"/>
    </row>
    <row r="33" customFormat="false" ht="34.5" hidden="false" customHeight="true" outlineLevel="0" collapsed="false">
      <c r="A33" s="13" t="s">
        <v>356</v>
      </c>
      <c r="B33" s="13" t="s">
        <v>34</v>
      </c>
      <c r="C33" s="13" t="s">
        <v>357</v>
      </c>
      <c r="D33" s="13" t="s">
        <v>358</v>
      </c>
      <c r="E33" s="13" t="s">
        <v>359</v>
      </c>
      <c r="F33" s="13" t="s">
        <v>56</v>
      </c>
      <c r="G33" s="13" t="s">
        <v>47</v>
      </c>
      <c r="H33" s="13" t="s">
        <v>360</v>
      </c>
      <c r="I33" s="13" t="s">
        <v>361</v>
      </c>
      <c r="J33" s="13" t="s">
        <v>93</v>
      </c>
      <c r="K33" s="13" t="s">
        <v>94</v>
      </c>
      <c r="L33" s="13" t="s">
        <v>362</v>
      </c>
      <c r="M33" s="13" t="s">
        <v>324</v>
      </c>
      <c r="N33" s="13" t="s">
        <v>94</v>
      </c>
      <c r="O33" s="13" t="s">
        <v>94</v>
      </c>
      <c r="P33" s="13" t="s">
        <v>47</v>
      </c>
      <c r="Q33" s="13"/>
      <c r="R33" s="14" t="s">
        <v>20</v>
      </c>
      <c r="S33" s="14"/>
      <c r="T33" s="14"/>
      <c r="U33" s="14"/>
      <c r="V33" s="14"/>
      <c r="W33" s="14"/>
      <c r="X33" s="14"/>
    </row>
    <row r="34" customFormat="false" ht="57" hidden="false" customHeight="true" outlineLevel="0" collapsed="false">
      <c r="A34" s="13" t="s">
        <v>363</v>
      </c>
      <c r="B34" s="13" t="s">
        <v>34</v>
      </c>
      <c r="C34" s="13" t="s">
        <v>364</v>
      </c>
      <c r="D34" s="13" t="s">
        <v>365</v>
      </c>
      <c r="E34" s="13" t="s">
        <v>366</v>
      </c>
      <c r="F34" s="13" t="s">
        <v>56</v>
      </c>
      <c r="G34" s="13" t="s">
        <v>90</v>
      </c>
      <c r="H34" s="13" t="s">
        <v>367</v>
      </c>
      <c r="I34" s="13" t="s">
        <v>368</v>
      </c>
      <c r="J34" s="13" t="s">
        <v>93</v>
      </c>
      <c r="K34" s="13" t="s">
        <v>94</v>
      </c>
      <c r="L34" s="13" t="s">
        <v>331</v>
      </c>
      <c r="M34" s="13" t="s">
        <v>369</v>
      </c>
      <c r="N34" s="13" t="s">
        <v>115</v>
      </c>
      <c r="O34" s="13" t="s">
        <v>94</v>
      </c>
      <c r="P34" s="13" t="s">
        <v>18</v>
      </c>
      <c r="Q34" s="13" t="s">
        <v>370</v>
      </c>
      <c r="R34" s="14" t="s">
        <v>20</v>
      </c>
      <c r="S34" s="14"/>
      <c r="T34" s="14"/>
      <c r="U34" s="14"/>
      <c r="V34" s="14"/>
      <c r="W34" s="14"/>
      <c r="X34" s="14"/>
    </row>
    <row r="35" customFormat="false" ht="23.25" hidden="false" customHeight="true" outlineLevel="0" collapsed="false">
      <c r="A35" s="13" t="s">
        <v>371</v>
      </c>
      <c r="B35" s="13" t="s">
        <v>35</v>
      </c>
      <c r="C35" s="13" t="s">
        <v>372</v>
      </c>
      <c r="D35" s="13" t="s">
        <v>373</v>
      </c>
      <c r="E35" s="13" t="s">
        <v>374</v>
      </c>
      <c r="F35" s="13" t="s">
        <v>56</v>
      </c>
      <c r="G35" s="13" t="s">
        <v>90</v>
      </c>
      <c r="H35" s="13" t="s">
        <v>375</v>
      </c>
      <c r="I35" s="13" t="s">
        <v>376</v>
      </c>
      <c r="J35" s="13" t="s">
        <v>93</v>
      </c>
      <c r="K35" s="13" t="s">
        <v>94</v>
      </c>
      <c r="L35" s="13" t="s">
        <v>377</v>
      </c>
      <c r="M35" s="13" t="s">
        <v>378</v>
      </c>
      <c r="N35" s="13" t="s">
        <v>115</v>
      </c>
      <c r="O35" s="13" t="s">
        <v>94</v>
      </c>
      <c r="P35" s="13" t="s">
        <v>47</v>
      </c>
      <c r="Q35" s="13"/>
      <c r="R35" s="14" t="s">
        <v>20</v>
      </c>
      <c r="S35" s="14"/>
      <c r="T35" s="14"/>
      <c r="U35" s="14"/>
      <c r="V35" s="14"/>
      <c r="W35" s="14"/>
      <c r="X35" s="14"/>
    </row>
    <row r="36" customFormat="false" ht="23.25" hidden="false" customHeight="true" outlineLevel="0" collapsed="false">
      <c r="A36" s="13" t="s">
        <v>379</v>
      </c>
      <c r="B36" s="13" t="s">
        <v>35</v>
      </c>
      <c r="C36" s="13" t="s">
        <v>380</v>
      </c>
      <c r="D36" s="13" t="s">
        <v>381</v>
      </c>
      <c r="E36" s="13" t="s">
        <v>382</v>
      </c>
      <c r="F36" s="13" t="s">
        <v>56</v>
      </c>
      <c r="G36" s="13" t="s">
        <v>90</v>
      </c>
      <c r="H36" s="13" t="s">
        <v>383</v>
      </c>
      <c r="I36" s="13" t="s">
        <v>384</v>
      </c>
      <c r="J36" s="13" t="s">
        <v>93</v>
      </c>
      <c r="K36" s="13" t="s">
        <v>94</v>
      </c>
      <c r="L36" s="13" t="s">
        <v>385</v>
      </c>
      <c r="M36" s="13" t="s">
        <v>378</v>
      </c>
      <c r="N36" s="13" t="s">
        <v>386</v>
      </c>
      <c r="O36" s="13" t="s">
        <v>94</v>
      </c>
      <c r="P36" s="13" t="s">
        <v>46</v>
      </c>
      <c r="Q36" s="13" t="s">
        <v>387</v>
      </c>
      <c r="R36" s="14" t="s">
        <v>20</v>
      </c>
      <c r="S36" s="14"/>
      <c r="T36" s="14"/>
      <c r="U36" s="14"/>
      <c r="V36" s="14"/>
      <c r="W36" s="14"/>
      <c r="X36" s="14"/>
    </row>
    <row r="37" customFormat="false" ht="34.5" hidden="false" customHeight="true" outlineLevel="0" collapsed="false">
      <c r="A37" s="13" t="s">
        <v>388</v>
      </c>
      <c r="B37" s="13" t="s">
        <v>35</v>
      </c>
      <c r="C37" s="13" t="s">
        <v>389</v>
      </c>
      <c r="D37" s="13" t="s">
        <v>390</v>
      </c>
      <c r="E37" s="13" t="s">
        <v>391</v>
      </c>
      <c r="F37" s="13" t="s">
        <v>56</v>
      </c>
      <c r="G37" s="13" t="s">
        <v>47</v>
      </c>
      <c r="H37" s="13" t="s">
        <v>392</v>
      </c>
      <c r="I37" s="13" t="s">
        <v>393</v>
      </c>
      <c r="J37" s="13" t="s">
        <v>93</v>
      </c>
      <c r="K37" s="13" t="s">
        <v>94</v>
      </c>
      <c r="L37" s="13" t="s">
        <v>394</v>
      </c>
      <c r="M37" s="13" t="s">
        <v>395</v>
      </c>
      <c r="N37" s="13" t="s">
        <v>396</v>
      </c>
      <c r="O37" s="13" t="s">
        <v>94</v>
      </c>
      <c r="P37" s="13" t="s">
        <v>18</v>
      </c>
      <c r="Q37" s="13" t="s">
        <v>397</v>
      </c>
      <c r="R37" s="14" t="s">
        <v>20</v>
      </c>
      <c r="S37" s="14"/>
      <c r="T37" s="14"/>
      <c r="U37" s="14"/>
      <c r="V37" s="14"/>
      <c r="W37" s="14"/>
      <c r="X37" s="14"/>
    </row>
    <row r="38" customFormat="false" ht="23.25" hidden="false" customHeight="true" outlineLevel="0" collapsed="false">
      <c r="A38" s="13" t="s">
        <v>398</v>
      </c>
      <c r="B38" s="13" t="s">
        <v>35</v>
      </c>
      <c r="C38" s="13" t="s">
        <v>399</v>
      </c>
      <c r="D38" s="13" t="s">
        <v>400</v>
      </c>
      <c r="E38" s="13" t="s">
        <v>401</v>
      </c>
      <c r="F38" s="13" t="s">
        <v>60</v>
      </c>
      <c r="G38" s="13" t="s">
        <v>47</v>
      </c>
      <c r="H38" s="13" t="s">
        <v>402</v>
      </c>
      <c r="I38" s="13" t="s">
        <v>403</v>
      </c>
      <c r="J38" s="13" t="s">
        <v>93</v>
      </c>
      <c r="K38" s="13" t="s">
        <v>94</v>
      </c>
      <c r="L38" s="13" t="s">
        <v>404</v>
      </c>
      <c r="M38" s="13" t="s">
        <v>378</v>
      </c>
      <c r="N38" s="13" t="s">
        <v>115</v>
      </c>
      <c r="O38" s="13" t="s">
        <v>94</v>
      </c>
      <c r="P38" s="13" t="s">
        <v>47</v>
      </c>
      <c r="Q38" s="13"/>
      <c r="R38" s="14" t="s">
        <v>20</v>
      </c>
      <c r="S38" s="14"/>
      <c r="T38" s="14"/>
      <c r="U38" s="14"/>
      <c r="V38" s="14"/>
      <c r="W38" s="14"/>
      <c r="X38" s="14"/>
    </row>
    <row r="39" customFormat="false" ht="34.5" hidden="false" customHeight="true" outlineLevel="0" collapsed="false">
      <c r="A39" s="13" t="s">
        <v>405</v>
      </c>
      <c r="B39" s="13" t="s">
        <v>35</v>
      </c>
      <c r="C39" s="13" t="s">
        <v>406</v>
      </c>
      <c r="D39" s="13" t="s">
        <v>407</v>
      </c>
      <c r="E39" s="13" t="s">
        <v>408</v>
      </c>
      <c r="F39" s="13" t="s">
        <v>56</v>
      </c>
      <c r="G39" s="13" t="s">
        <v>47</v>
      </c>
      <c r="H39" s="13" t="s">
        <v>409</v>
      </c>
      <c r="I39" s="13" t="s">
        <v>410</v>
      </c>
      <c r="J39" s="13" t="s">
        <v>93</v>
      </c>
      <c r="K39" s="13" t="s">
        <v>94</v>
      </c>
      <c r="L39" s="13" t="s">
        <v>411</v>
      </c>
      <c r="M39" s="13" t="s">
        <v>412</v>
      </c>
      <c r="N39" s="13" t="s">
        <v>413</v>
      </c>
      <c r="O39" s="13" t="s">
        <v>94</v>
      </c>
      <c r="P39" s="13" t="s">
        <v>47</v>
      </c>
      <c r="Q39" s="13"/>
      <c r="R39" s="14" t="s">
        <v>20</v>
      </c>
      <c r="S39" s="14"/>
      <c r="T39" s="14"/>
      <c r="U39" s="14"/>
      <c r="V39" s="14"/>
      <c r="W39" s="14"/>
      <c r="X39" s="14"/>
    </row>
    <row r="40" customFormat="false" ht="34.5" hidden="false" customHeight="true" outlineLevel="0" collapsed="false">
      <c r="A40" s="13" t="s">
        <v>414</v>
      </c>
      <c r="B40" s="13" t="s">
        <v>36</v>
      </c>
      <c r="C40" s="13" t="s">
        <v>415</v>
      </c>
      <c r="D40" s="13" t="s">
        <v>416</v>
      </c>
      <c r="E40" s="13" t="s">
        <v>417</v>
      </c>
      <c r="F40" s="13" t="s">
        <v>56</v>
      </c>
      <c r="G40" s="13" t="s">
        <v>47</v>
      </c>
      <c r="H40" s="13" t="s">
        <v>418</v>
      </c>
      <c r="I40" s="13" t="s">
        <v>419</v>
      </c>
      <c r="J40" s="13" t="s">
        <v>94</v>
      </c>
      <c r="K40" s="13" t="s">
        <v>94</v>
      </c>
      <c r="L40" s="13" t="s">
        <v>420</v>
      </c>
      <c r="M40" s="13" t="s">
        <v>316</v>
      </c>
      <c r="N40" s="13" t="s">
        <v>97</v>
      </c>
      <c r="O40" s="13" t="s">
        <v>94</v>
      </c>
      <c r="P40" s="13" t="s">
        <v>18</v>
      </c>
      <c r="Q40" s="13" t="s">
        <v>421</v>
      </c>
      <c r="R40" s="14" t="s">
        <v>20</v>
      </c>
      <c r="S40" s="14"/>
      <c r="T40" s="14"/>
      <c r="U40" s="14"/>
      <c r="V40" s="14"/>
      <c r="W40" s="14"/>
      <c r="X40" s="14"/>
    </row>
    <row r="41" customFormat="false" ht="34.5" hidden="false" customHeight="true" outlineLevel="0" collapsed="false">
      <c r="A41" s="13" t="s">
        <v>422</v>
      </c>
      <c r="B41" s="13" t="s">
        <v>36</v>
      </c>
      <c r="C41" s="13" t="s">
        <v>423</v>
      </c>
      <c r="D41" s="13" t="s">
        <v>424</v>
      </c>
      <c r="E41" s="13" t="s">
        <v>425</v>
      </c>
      <c r="F41" s="13" t="s">
        <v>56</v>
      </c>
      <c r="G41" s="13" t="s">
        <v>90</v>
      </c>
      <c r="H41" s="13" t="s">
        <v>426</v>
      </c>
      <c r="I41" s="13" t="s">
        <v>427</v>
      </c>
      <c r="J41" s="13" t="s">
        <v>93</v>
      </c>
      <c r="K41" s="13" t="s">
        <v>94</v>
      </c>
      <c r="L41" s="13" t="s">
        <v>428</v>
      </c>
      <c r="M41" s="13" t="s">
        <v>316</v>
      </c>
      <c r="N41" s="13" t="s">
        <v>115</v>
      </c>
      <c r="O41" s="13" t="s">
        <v>94</v>
      </c>
      <c r="P41" s="13" t="s">
        <v>18</v>
      </c>
      <c r="Q41" s="13"/>
      <c r="R41" s="14" t="s">
        <v>20</v>
      </c>
      <c r="S41" s="14"/>
      <c r="T41" s="14"/>
      <c r="U41" s="14"/>
      <c r="V41" s="14"/>
      <c r="W41" s="14"/>
      <c r="X41" s="14"/>
    </row>
    <row r="42" customFormat="false" ht="34.5" hidden="false" customHeight="true" outlineLevel="0" collapsed="false">
      <c r="A42" s="13" t="s">
        <v>429</v>
      </c>
      <c r="B42" s="13" t="s">
        <v>36</v>
      </c>
      <c r="C42" s="13" t="s">
        <v>430</v>
      </c>
      <c r="D42" s="13" t="s">
        <v>431</v>
      </c>
      <c r="E42" s="13" t="s">
        <v>432</v>
      </c>
      <c r="F42" s="13" t="s">
        <v>60</v>
      </c>
      <c r="G42" s="13" t="s">
        <v>47</v>
      </c>
      <c r="H42" s="13" t="s">
        <v>433</v>
      </c>
      <c r="I42" s="13" t="s">
        <v>434</v>
      </c>
      <c r="J42" s="13" t="s">
        <v>93</v>
      </c>
      <c r="K42" s="13" t="s">
        <v>94</v>
      </c>
      <c r="L42" s="13" t="s">
        <v>377</v>
      </c>
      <c r="M42" s="13" t="s">
        <v>378</v>
      </c>
      <c r="N42" s="13" t="s">
        <v>435</v>
      </c>
      <c r="O42" s="13" t="s">
        <v>94</v>
      </c>
      <c r="P42" s="13" t="s">
        <v>47</v>
      </c>
      <c r="Q42" s="13"/>
      <c r="R42" s="14" t="s">
        <v>20</v>
      </c>
      <c r="S42" s="14"/>
      <c r="T42" s="14"/>
      <c r="U42" s="14"/>
      <c r="V42" s="14"/>
      <c r="W42" s="14"/>
      <c r="X42" s="14"/>
    </row>
    <row r="43" customFormat="false" ht="23.25" hidden="false" customHeight="true" outlineLevel="0" collapsed="false">
      <c r="A43" s="13" t="s">
        <v>436</v>
      </c>
      <c r="B43" s="13" t="s">
        <v>36</v>
      </c>
      <c r="C43" s="13" t="s">
        <v>437</v>
      </c>
      <c r="D43" s="13" t="s">
        <v>438</v>
      </c>
      <c r="E43" s="13" t="s">
        <v>439</v>
      </c>
      <c r="F43" s="13" t="s">
        <v>56</v>
      </c>
      <c r="G43" s="13" t="s">
        <v>47</v>
      </c>
      <c r="H43" s="13" t="s">
        <v>440</v>
      </c>
      <c r="I43" s="13" t="s">
        <v>441</v>
      </c>
      <c r="J43" s="13" t="s">
        <v>93</v>
      </c>
      <c r="K43" s="13" t="s">
        <v>94</v>
      </c>
      <c r="L43" s="13" t="s">
        <v>442</v>
      </c>
      <c r="M43" s="13" t="s">
        <v>443</v>
      </c>
      <c r="N43" s="13" t="s">
        <v>444</v>
      </c>
      <c r="O43" s="13" t="s">
        <v>94</v>
      </c>
      <c r="P43" s="13" t="s">
        <v>46</v>
      </c>
      <c r="Q43" s="13" t="s">
        <v>445</v>
      </c>
      <c r="R43" s="14" t="s">
        <v>20</v>
      </c>
      <c r="S43" s="14"/>
      <c r="T43" s="14"/>
      <c r="U43" s="14"/>
      <c r="V43" s="14"/>
      <c r="W43" s="14"/>
      <c r="X43" s="14"/>
    </row>
    <row r="44" customFormat="false" ht="23.25" hidden="false" customHeight="true" outlineLevel="0" collapsed="false">
      <c r="A44" s="13" t="s">
        <v>446</v>
      </c>
      <c r="B44" s="13" t="s">
        <v>37</v>
      </c>
      <c r="C44" s="13" t="s">
        <v>447</v>
      </c>
      <c r="D44" s="13" t="s">
        <v>448</v>
      </c>
      <c r="E44" s="13" t="s">
        <v>449</v>
      </c>
      <c r="F44" s="13" t="s">
        <v>56</v>
      </c>
      <c r="G44" s="13" t="s">
        <v>90</v>
      </c>
      <c r="H44" s="13" t="s">
        <v>450</v>
      </c>
      <c r="I44" s="13" t="s">
        <v>451</v>
      </c>
      <c r="J44" s="13" t="s">
        <v>93</v>
      </c>
      <c r="K44" s="13" t="s">
        <v>94</v>
      </c>
      <c r="L44" s="13" t="s">
        <v>452</v>
      </c>
      <c r="M44" s="13" t="s">
        <v>453</v>
      </c>
      <c r="N44" s="13" t="s">
        <v>94</v>
      </c>
      <c r="O44" s="13" t="s">
        <v>94</v>
      </c>
      <c r="P44" s="13" t="s">
        <v>47</v>
      </c>
      <c r="Q44" s="13"/>
      <c r="R44" s="14" t="s">
        <v>20</v>
      </c>
      <c r="S44" s="14"/>
      <c r="T44" s="14"/>
      <c r="U44" s="14"/>
      <c r="V44" s="14"/>
      <c r="W44" s="14"/>
      <c r="X44" s="14"/>
    </row>
    <row r="45" customFormat="false" ht="34.5" hidden="false" customHeight="true" outlineLevel="0" collapsed="false">
      <c r="A45" s="13" t="s">
        <v>454</v>
      </c>
      <c r="B45" s="13" t="s">
        <v>37</v>
      </c>
      <c r="C45" s="13" t="s">
        <v>455</v>
      </c>
      <c r="D45" s="13" t="s">
        <v>456</v>
      </c>
      <c r="E45" s="13" t="s">
        <v>457</v>
      </c>
      <c r="F45" s="13" t="s">
        <v>56</v>
      </c>
      <c r="G45" s="13" t="s">
        <v>47</v>
      </c>
      <c r="H45" s="13" t="s">
        <v>458</v>
      </c>
      <c r="I45" s="13" t="s">
        <v>459</v>
      </c>
      <c r="J45" s="13" t="s">
        <v>93</v>
      </c>
      <c r="K45" s="13" t="s">
        <v>460</v>
      </c>
      <c r="L45" s="13" t="s">
        <v>461</v>
      </c>
      <c r="M45" s="13" t="s">
        <v>462</v>
      </c>
      <c r="N45" s="13" t="s">
        <v>97</v>
      </c>
      <c r="O45" s="13" t="s">
        <v>94</v>
      </c>
      <c r="P45" s="13" t="s">
        <v>18</v>
      </c>
      <c r="Q45" s="13" t="s">
        <v>463</v>
      </c>
      <c r="R45" s="14" t="s">
        <v>20</v>
      </c>
      <c r="S45" s="14"/>
      <c r="T45" s="14"/>
      <c r="U45" s="14"/>
      <c r="V45" s="14"/>
      <c r="W45" s="14"/>
      <c r="X45" s="14"/>
    </row>
    <row r="46" customFormat="false" ht="34.5" hidden="false" customHeight="true" outlineLevel="0" collapsed="false">
      <c r="A46" s="13" t="s">
        <v>464</v>
      </c>
      <c r="B46" s="13" t="s">
        <v>38</v>
      </c>
      <c r="C46" s="13" t="s">
        <v>465</v>
      </c>
      <c r="D46" s="13" t="s">
        <v>466</v>
      </c>
      <c r="E46" s="13" t="s">
        <v>467</v>
      </c>
      <c r="F46" s="13" t="s">
        <v>52</v>
      </c>
      <c r="G46" s="13" t="s">
        <v>47</v>
      </c>
      <c r="H46" s="13" t="s">
        <v>468</v>
      </c>
      <c r="I46" s="13" t="s">
        <v>469</v>
      </c>
      <c r="J46" s="13" t="s">
        <v>94</v>
      </c>
      <c r="K46" s="13" t="s">
        <v>470</v>
      </c>
      <c r="L46" s="13" t="s">
        <v>471</v>
      </c>
      <c r="M46" s="13" t="s">
        <v>472</v>
      </c>
      <c r="N46" s="13" t="s">
        <v>94</v>
      </c>
      <c r="O46" s="13" t="s">
        <v>94</v>
      </c>
      <c r="P46" s="13" t="s">
        <v>47</v>
      </c>
      <c r="Q46" s="13"/>
      <c r="R46" s="14" t="s">
        <v>20</v>
      </c>
      <c r="S46" s="14"/>
      <c r="T46" s="14"/>
      <c r="U46" s="14"/>
      <c r="V46" s="14"/>
      <c r="W46" s="14"/>
      <c r="X46" s="14"/>
    </row>
    <row r="47" customFormat="false" ht="23.25" hidden="false" customHeight="true" outlineLevel="0" collapsed="false">
      <c r="A47" s="13" t="s">
        <v>473</v>
      </c>
      <c r="B47" s="13" t="s">
        <v>38</v>
      </c>
      <c r="C47" s="13" t="s">
        <v>474</v>
      </c>
      <c r="D47" s="13" t="s">
        <v>475</v>
      </c>
      <c r="E47" s="13" t="s">
        <v>476</v>
      </c>
      <c r="F47" s="13" t="s">
        <v>52</v>
      </c>
      <c r="G47" s="13" t="s">
        <v>47</v>
      </c>
      <c r="H47" s="13" t="s">
        <v>477</v>
      </c>
      <c r="I47" s="13" t="s">
        <v>478</v>
      </c>
      <c r="J47" s="13" t="s">
        <v>94</v>
      </c>
      <c r="K47" s="13" t="s">
        <v>479</v>
      </c>
      <c r="L47" s="13" t="s">
        <v>480</v>
      </c>
      <c r="M47" s="13" t="s">
        <v>481</v>
      </c>
      <c r="N47" s="13" t="s">
        <v>94</v>
      </c>
      <c r="O47" s="13" t="s">
        <v>94</v>
      </c>
      <c r="P47" s="13" t="s">
        <v>47</v>
      </c>
      <c r="Q47" s="13"/>
      <c r="R47" s="14" t="s">
        <v>20</v>
      </c>
      <c r="S47" s="14"/>
      <c r="T47" s="14"/>
      <c r="U47" s="14"/>
      <c r="V47" s="14"/>
      <c r="W47" s="14"/>
      <c r="X47" s="14"/>
    </row>
    <row r="48" customFormat="false" ht="34.5" hidden="false" customHeight="true" outlineLevel="0" collapsed="false">
      <c r="A48" s="13" t="s">
        <v>482</v>
      </c>
      <c r="B48" s="13" t="s">
        <v>38</v>
      </c>
      <c r="C48" s="13" t="s">
        <v>483</v>
      </c>
      <c r="D48" s="13" t="s">
        <v>484</v>
      </c>
      <c r="E48" s="13" t="s">
        <v>485</v>
      </c>
      <c r="F48" s="13" t="s">
        <v>52</v>
      </c>
      <c r="G48" s="13" t="s">
        <v>47</v>
      </c>
      <c r="H48" s="13" t="s">
        <v>486</v>
      </c>
      <c r="I48" s="13" t="s">
        <v>487</v>
      </c>
      <c r="J48" s="13" t="s">
        <v>94</v>
      </c>
      <c r="K48" s="13" t="s">
        <v>488</v>
      </c>
      <c r="L48" s="13" t="s">
        <v>489</v>
      </c>
      <c r="M48" s="13" t="s">
        <v>490</v>
      </c>
      <c r="N48" s="13" t="s">
        <v>115</v>
      </c>
      <c r="O48" s="13" t="s">
        <v>94</v>
      </c>
      <c r="P48" s="13" t="s">
        <v>46</v>
      </c>
      <c r="Q48" s="13" t="s">
        <v>491</v>
      </c>
      <c r="R48" s="14" t="s">
        <v>20</v>
      </c>
      <c r="S48" s="14"/>
      <c r="T48" s="14"/>
      <c r="U48" s="14"/>
      <c r="V48" s="14"/>
      <c r="W48" s="14"/>
      <c r="X48" s="14"/>
    </row>
    <row r="49" customFormat="false" ht="23.25" hidden="false" customHeight="true" outlineLevel="0" collapsed="false">
      <c r="A49" s="13" t="s">
        <v>492</v>
      </c>
      <c r="B49" s="13" t="s">
        <v>38</v>
      </c>
      <c r="C49" s="13" t="s">
        <v>493</v>
      </c>
      <c r="D49" s="13" t="s">
        <v>494</v>
      </c>
      <c r="E49" s="13" t="s">
        <v>495</v>
      </c>
      <c r="F49" s="13" t="s">
        <v>52</v>
      </c>
      <c r="G49" s="13" t="s">
        <v>47</v>
      </c>
      <c r="H49" s="13" t="s">
        <v>496</v>
      </c>
      <c r="I49" s="13" t="s">
        <v>497</v>
      </c>
      <c r="J49" s="13" t="s">
        <v>94</v>
      </c>
      <c r="K49" s="13" t="s">
        <v>498</v>
      </c>
      <c r="L49" s="13" t="s">
        <v>94</v>
      </c>
      <c r="M49" s="13" t="s">
        <v>94</v>
      </c>
      <c r="N49" s="13" t="s">
        <v>94</v>
      </c>
      <c r="O49" s="13" t="s">
        <v>94</v>
      </c>
      <c r="P49" s="13" t="s">
        <v>18</v>
      </c>
      <c r="Q49" s="13" t="s">
        <v>499</v>
      </c>
      <c r="R49" s="14" t="s">
        <v>20</v>
      </c>
      <c r="S49" s="14"/>
      <c r="T49" s="14"/>
      <c r="U49" s="14"/>
      <c r="V49" s="14"/>
      <c r="W49" s="14"/>
      <c r="X49" s="14"/>
    </row>
    <row r="50" customFormat="false" ht="23.25" hidden="false" customHeight="true" outlineLevel="0" collapsed="false">
      <c r="A50" s="13" t="s">
        <v>500</v>
      </c>
      <c r="B50" s="13" t="s">
        <v>38</v>
      </c>
      <c r="C50" s="13" t="s">
        <v>501</v>
      </c>
      <c r="D50" s="13" t="s">
        <v>502</v>
      </c>
      <c r="E50" s="13" t="s">
        <v>503</v>
      </c>
      <c r="F50" s="13" t="s">
        <v>52</v>
      </c>
      <c r="G50" s="13" t="s">
        <v>47</v>
      </c>
      <c r="H50" s="13" t="s">
        <v>504</v>
      </c>
      <c r="I50" s="13" t="s">
        <v>505</v>
      </c>
      <c r="J50" s="13" t="s">
        <v>94</v>
      </c>
      <c r="K50" s="13" t="s">
        <v>506</v>
      </c>
      <c r="L50" s="13" t="s">
        <v>94</v>
      </c>
      <c r="M50" s="13" t="s">
        <v>94</v>
      </c>
      <c r="N50" s="13" t="s">
        <v>94</v>
      </c>
      <c r="O50" s="13" t="s">
        <v>94</v>
      </c>
      <c r="P50" s="13" t="s">
        <v>47</v>
      </c>
      <c r="Q50" s="13"/>
      <c r="R50" s="14" t="s">
        <v>20</v>
      </c>
      <c r="S50" s="14"/>
      <c r="T50" s="14"/>
      <c r="U50" s="14"/>
      <c r="V50" s="14"/>
      <c r="W50" s="14"/>
      <c r="X50" s="14"/>
    </row>
    <row r="51" customFormat="false" ht="23.25" hidden="false" customHeight="true" outlineLevel="0" collapsed="false">
      <c r="A51" s="13" t="s">
        <v>507</v>
      </c>
      <c r="B51" s="13" t="s">
        <v>38</v>
      </c>
      <c r="C51" s="13" t="s">
        <v>508</v>
      </c>
      <c r="D51" s="13" t="s">
        <v>509</v>
      </c>
      <c r="E51" s="13" t="s">
        <v>510</v>
      </c>
      <c r="F51" s="13" t="s">
        <v>52</v>
      </c>
      <c r="G51" s="13" t="s">
        <v>47</v>
      </c>
      <c r="H51" s="13" t="s">
        <v>511</v>
      </c>
      <c r="I51" s="13" t="s">
        <v>512</v>
      </c>
      <c r="J51" s="13" t="s">
        <v>94</v>
      </c>
      <c r="K51" s="13" t="s">
        <v>513</v>
      </c>
      <c r="L51" s="13" t="s">
        <v>94</v>
      </c>
      <c r="M51" s="13" t="s">
        <v>94</v>
      </c>
      <c r="N51" s="13" t="s">
        <v>94</v>
      </c>
      <c r="O51" s="13" t="s">
        <v>94</v>
      </c>
      <c r="P51" s="13" t="s">
        <v>47</v>
      </c>
      <c r="Q51" s="13"/>
      <c r="R51" s="14" t="s">
        <v>20</v>
      </c>
      <c r="S51" s="14"/>
      <c r="T51" s="14"/>
      <c r="U51" s="14"/>
      <c r="V51" s="14"/>
      <c r="W51" s="14"/>
      <c r="X51" s="14"/>
    </row>
    <row r="52" customFormat="false" ht="34.5" hidden="false" customHeight="true" outlineLevel="0" collapsed="false">
      <c r="A52" s="13" t="s">
        <v>514</v>
      </c>
      <c r="B52" s="13" t="s">
        <v>38</v>
      </c>
      <c r="C52" s="13" t="s">
        <v>515</v>
      </c>
      <c r="D52" s="13" t="s">
        <v>516</v>
      </c>
      <c r="E52" s="13" t="s">
        <v>517</v>
      </c>
      <c r="F52" s="13" t="s">
        <v>52</v>
      </c>
      <c r="G52" s="13" t="s">
        <v>47</v>
      </c>
      <c r="H52" s="13" t="s">
        <v>518</v>
      </c>
      <c r="I52" s="13" t="s">
        <v>519</v>
      </c>
      <c r="J52" s="13" t="s">
        <v>94</v>
      </c>
      <c r="K52" s="13" t="s">
        <v>520</v>
      </c>
      <c r="L52" s="13" t="s">
        <v>521</v>
      </c>
      <c r="M52" s="13" t="s">
        <v>472</v>
      </c>
      <c r="N52" s="13" t="s">
        <v>522</v>
      </c>
      <c r="O52" s="13" t="s">
        <v>94</v>
      </c>
      <c r="P52" s="13" t="s">
        <v>18</v>
      </c>
      <c r="Q52" s="13" t="s">
        <v>523</v>
      </c>
      <c r="R52" s="14" t="s">
        <v>20</v>
      </c>
      <c r="S52" s="14"/>
      <c r="T52" s="14"/>
      <c r="U52" s="14"/>
      <c r="V52" s="14"/>
      <c r="W52" s="14"/>
      <c r="X52" s="14"/>
    </row>
    <row r="53" customFormat="false" ht="34.5" hidden="false" customHeight="true" outlineLevel="0" collapsed="false">
      <c r="A53" s="13" t="s">
        <v>524</v>
      </c>
      <c r="B53" s="13" t="s">
        <v>39</v>
      </c>
      <c r="C53" s="13" t="s">
        <v>525</v>
      </c>
      <c r="D53" s="13" t="s">
        <v>526</v>
      </c>
      <c r="E53" s="13" t="s">
        <v>527</v>
      </c>
      <c r="F53" s="13" t="s">
        <v>52</v>
      </c>
      <c r="G53" s="13" t="s">
        <v>47</v>
      </c>
      <c r="H53" s="13" t="s">
        <v>528</v>
      </c>
      <c r="I53" s="13" t="s">
        <v>529</v>
      </c>
      <c r="J53" s="13" t="s">
        <v>94</v>
      </c>
      <c r="K53" s="13" t="s">
        <v>530</v>
      </c>
      <c r="L53" s="13" t="s">
        <v>531</v>
      </c>
      <c r="M53" s="13" t="s">
        <v>472</v>
      </c>
      <c r="N53" s="13" t="s">
        <v>522</v>
      </c>
      <c r="O53" s="13" t="s">
        <v>94</v>
      </c>
      <c r="P53" s="13" t="s">
        <v>47</v>
      </c>
      <c r="Q53" s="13"/>
      <c r="R53" s="14" t="s">
        <v>20</v>
      </c>
      <c r="S53" s="14"/>
      <c r="T53" s="14"/>
      <c r="U53" s="14"/>
      <c r="V53" s="14"/>
      <c r="W53" s="14"/>
      <c r="X53" s="14"/>
    </row>
    <row r="54" customFormat="false" ht="23.25" hidden="false" customHeight="true" outlineLevel="0" collapsed="false">
      <c r="A54" s="13" t="s">
        <v>532</v>
      </c>
      <c r="B54" s="13" t="s">
        <v>39</v>
      </c>
      <c r="C54" s="13" t="s">
        <v>533</v>
      </c>
      <c r="D54" s="13" t="s">
        <v>534</v>
      </c>
      <c r="E54" s="13" t="s">
        <v>535</v>
      </c>
      <c r="F54" s="13" t="s">
        <v>52</v>
      </c>
      <c r="G54" s="13" t="s">
        <v>47</v>
      </c>
      <c r="H54" s="13" t="s">
        <v>536</v>
      </c>
      <c r="I54" s="13" t="s">
        <v>537</v>
      </c>
      <c r="J54" s="13" t="s">
        <v>94</v>
      </c>
      <c r="K54" s="13" t="s">
        <v>538</v>
      </c>
      <c r="L54" s="13" t="s">
        <v>531</v>
      </c>
      <c r="M54" s="13" t="s">
        <v>472</v>
      </c>
      <c r="N54" s="13" t="s">
        <v>94</v>
      </c>
      <c r="O54" s="13" t="s">
        <v>94</v>
      </c>
      <c r="P54" s="13" t="s">
        <v>18</v>
      </c>
      <c r="Q54" s="13" t="s">
        <v>539</v>
      </c>
      <c r="R54" s="14" t="s">
        <v>20</v>
      </c>
      <c r="S54" s="14"/>
      <c r="T54" s="14"/>
      <c r="U54" s="14"/>
      <c r="V54" s="14"/>
      <c r="W54" s="14"/>
      <c r="X54" s="14"/>
    </row>
    <row r="55" customFormat="false" ht="23.25" hidden="false" customHeight="true" outlineLevel="0" collapsed="false">
      <c r="A55" s="13" t="s">
        <v>540</v>
      </c>
      <c r="B55" s="13" t="s">
        <v>39</v>
      </c>
      <c r="C55" s="13" t="s">
        <v>541</v>
      </c>
      <c r="D55" s="13" t="s">
        <v>542</v>
      </c>
      <c r="E55" s="13" t="s">
        <v>543</v>
      </c>
      <c r="F55" s="13" t="s">
        <v>52</v>
      </c>
      <c r="G55" s="13" t="s">
        <v>90</v>
      </c>
      <c r="H55" s="13" t="s">
        <v>544</v>
      </c>
      <c r="I55" s="13" t="s">
        <v>545</v>
      </c>
      <c r="J55" s="13" t="s">
        <v>94</v>
      </c>
      <c r="K55" s="13" t="s">
        <v>546</v>
      </c>
      <c r="L55" s="13" t="s">
        <v>531</v>
      </c>
      <c r="M55" s="13" t="s">
        <v>472</v>
      </c>
      <c r="N55" s="13" t="s">
        <v>94</v>
      </c>
      <c r="O55" s="13" t="s">
        <v>94</v>
      </c>
      <c r="P55" s="13" t="s">
        <v>47</v>
      </c>
      <c r="Q55" s="13"/>
      <c r="R55" s="14" t="s">
        <v>20</v>
      </c>
      <c r="S55" s="14"/>
      <c r="T55" s="14"/>
      <c r="U55" s="14"/>
      <c r="V55" s="14"/>
      <c r="W55" s="14"/>
      <c r="X55" s="14"/>
    </row>
    <row r="56" customFormat="false" ht="34.5" hidden="false" customHeight="true" outlineLevel="0" collapsed="false">
      <c r="A56" s="13" t="s">
        <v>547</v>
      </c>
      <c r="B56" s="13" t="s">
        <v>39</v>
      </c>
      <c r="C56" s="13" t="s">
        <v>548</v>
      </c>
      <c r="D56" s="13" t="s">
        <v>549</v>
      </c>
      <c r="E56" s="13" t="s">
        <v>550</v>
      </c>
      <c r="F56" s="13" t="s">
        <v>52</v>
      </c>
      <c r="G56" s="13" t="s">
        <v>90</v>
      </c>
      <c r="H56" s="13" t="s">
        <v>551</v>
      </c>
      <c r="I56" s="13" t="s">
        <v>552</v>
      </c>
      <c r="J56" s="13" t="s">
        <v>94</v>
      </c>
      <c r="K56" s="13" t="s">
        <v>546</v>
      </c>
      <c r="L56" s="13" t="s">
        <v>531</v>
      </c>
      <c r="M56" s="13" t="s">
        <v>472</v>
      </c>
      <c r="N56" s="13" t="s">
        <v>522</v>
      </c>
      <c r="O56" s="13" t="s">
        <v>94</v>
      </c>
      <c r="P56" s="13" t="s">
        <v>46</v>
      </c>
      <c r="Q56" s="13" t="s">
        <v>553</v>
      </c>
      <c r="R56" s="14" t="s">
        <v>20</v>
      </c>
      <c r="S56" s="14"/>
      <c r="T56" s="14"/>
      <c r="U56" s="14"/>
      <c r="V56" s="14"/>
      <c r="W56" s="14"/>
      <c r="X56" s="14"/>
    </row>
    <row r="57" customFormat="false" ht="23.25" hidden="false" customHeight="true" outlineLevel="0" collapsed="false">
      <c r="A57" s="13" t="s">
        <v>554</v>
      </c>
      <c r="B57" s="13" t="s">
        <v>39</v>
      </c>
      <c r="C57" s="13" t="s">
        <v>555</v>
      </c>
      <c r="D57" s="13" t="s">
        <v>556</v>
      </c>
      <c r="E57" s="13" t="s">
        <v>557</v>
      </c>
      <c r="F57" s="13" t="s">
        <v>52</v>
      </c>
      <c r="G57" s="13" t="s">
        <v>47</v>
      </c>
      <c r="H57" s="13" t="s">
        <v>558</v>
      </c>
      <c r="I57" s="13" t="s">
        <v>559</v>
      </c>
      <c r="J57" s="13" t="s">
        <v>94</v>
      </c>
      <c r="K57" s="13" t="s">
        <v>546</v>
      </c>
      <c r="L57" s="13" t="s">
        <v>489</v>
      </c>
      <c r="M57" s="13" t="s">
        <v>490</v>
      </c>
      <c r="N57" s="13" t="s">
        <v>94</v>
      </c>
      <c r="O57" s="13" t="s">
        <v>94</v>
      </c>
      <c r="P57" s="13" t="s">
        <v>46</v>
      </c>
      <c r="Q57" s="13" t="s">
        <v>560</v>
      </c>
      <c r="R57" s="14" t="s">
        <v>20</v>
      </c>
      <c r="S57" s="14"/>
      <c r="T57" s="14"/>
      <c r="U57" s="14"/>
      <c r="V57" s="14"/>
      <c r="W57" s="14"/>
      <c r="X57" s="14"/>
    </row>
    <row r="58" customFormat="false" ht="34.5" hidden="false" customHeight="true" outlineLevel="0" collapsed="false">
      <c r="A58" s="13" t="s">
        <v>561</v>
      </c>
      <c r="B58" s="13" t="s">
        <v>40</v>
      </c>
      <c r="C58" s="13" t="s">
        <v>562</v>
      </c>
      <c r="D58" s="13" t="s">
        <v>563</v>
      </c>
      <c r="E58" s="13" t="s">
        <v>564</v>
      </c>
      <c r="F58" s="13" t="s">
        <v>52</v>
      </c>
      <c r="G58" s="13" t="s">
        <v>47</v>
      </c>
      <c r="H58" s="13" t="s">
        <v>565</v>
      </c>
      <c r="I58" s="13" t="s">
        <v>566</v>
      </c>
      <c r="J58" s="13" t="s">
        <v>567</v>
      </c>
      <c r="K58" s="13" t="s">
        <v>568</v>
      </c>
      <c r="L58" s="13" t="s">
        <v>569</v>
      </c>
      <c r="M58" s="13" t="s">
        <v>570</v>
      </c>
      <c r="N58" s="13" t="s">
        <v>94</v>
      </c>
      <c r="O58" s="13" t="s">
        <v>94</v>
      </c>
      <c r="P58" s="13" t="s">
        <v>18</v>
      </c>
      <c r="Q58" s="13" t="s">
        <v>571</v>
      </c>
      <c r="R58" s="14" t="s">
        <v>20</v>
      </c>
      <c r="S58" s="14"/>
      <c r="T58" s="14"/>
      <c r="U58" s="14"/>
      <c r="V58" s="14"/>
      <c r="W58" s="14"/>
      <c r="X58" s="14"/>
    </row>
    <row r="59" customFormat="false" ht="45.75" hidden="false" customHeight="true" outlineLevel="0" collapsed="false">
      <c r="A59" s="13" t="s">
        <v>572</v>
      </c>
      <c r="B59" s="13" t="s">
        <v>40</v>
      </c>
      <c r="C59" s="13" t="s">
        <v>573</v>
      </c>
      <c r="D59" s="13" t="s">
        <v>574</v>
      </c>
      <c r="E59" s="13" t="s">
        <v>575</v>
      </c>
      <c r="F59" s="13" t="s">
        <v>52</v>
      </c>
      <c r="G59" s="13" t="s">
        <v>47</v>
      </c>
      <c r="H59" s="13" t="s">
        <v>576</v>
      </c>
      <c r="I59" s="13" t="s">
        <v>577</v>
      </c>
      <c r="J59" s="13" t="s">
        <v>94</v>
      </c>
      <c r="K59" s="13" t="s">
        <v>578</v>
      </c>
      <c r="L59" s="13" t="s">
        <v>579</v>
      </c>
      <c r="M59" s="13" t="s">
        <v>94</v>
      </c>
      <c r="N59" s="13" t="s">
        <v>94</v>
      </c>
      <c r="O59" s="13" t="s">
        <v>94</v>
      </c>
      <c r="P59" s="13" t="s">
        <v>47</v>
      </c>
      <c r="Q59" s="13"/>
      <c r="R59" s="14" t="s">
        <v>20</v>
      </c>
      <c r="S59" s="14"/>
      <c r="T59" s="14"/>
      <c r="U59" s="14"/>
      <c r="V59" s="14"/>
      <c r="W59" s="14"/>
      <c r="X59" s="14"/>
    </row>
    <row r="60" customFormat="false" ht="23.25" hidden="false" customHeight="true" outlineLevel="0" collapsed="false">
      <c r="A60" s="13" t="s">
        <v>580</v>
      </c>
      <c r="B60" s="13" t="s">
        <v>40</v>
      </c>
      <c r="C60" s="13" t="s">
        <v>581</v>
      </c>
      <c r="D60" s="13" t="s">
        <v>582</v>
      </c>
      <c r="E60" s="13" t="s">
        <v>583</v>
      </c>
      <c r="F60" s="13" t="s">
        <v>52</v>
      </c>
      <c r="G60" s="13" t="s">
        <v>47</v>
      </c>
      <c r="H60" s="13" t="s">
        <v>584</v>
      </c>
      <c r="I60" s="13" t="s">
        <v>585</v>
      </c>
      <c r="J60" s="13" t="s">
        <v>279</v>
      </c>
      <c r="K60" s="13" t="s">
        <v>288</v>
      </c>
      <c r="L60" s="13" t="s">
        <v>194</v>
      </c>
      <c r="M60" s="13" t="s">
        <v>195</v>
      </c>
      <c r="N60" s="13" t="s">
        <v>94</v>
      </c>
      <c r="O60" s="13" t="s">
        <v>94</v>
      </c>
      <c r="P60" s="13" t="s">
        <v>46</v>
      </c>
      <c r="Q60" s="13" t="s">
        <v>586</v>
      </c>
      <c r="R60" s="14" t="s">
        <v>20</v>
      </c>
      <c r="S60" s="14"/>
      <c r="T60" s="14"/>
      <c r="U60" s="14"/>
      <c r="V60" s="14"/>
      <c r="W60" s="14"/>
      <c r="X60" s="14"/>
    </row>
    <row r="61" customFormat="false" ht="34.5" hidden="false" customHeight="true" outlineLevel="0" collapsed="false">
      <c r="A61" s="13" t="s">
        <v>587</v>
      </c>
      <c r="B61" s="13" t="s">
        <v>40</v>
      </c>
      <c r="C61" s="13" t="s">
        <v>588</v>
      </c>
      <c r="D61" s="13" t="s">
        <v>589</v>
      </c>
      <c r="E61" s="13" t="s">
        <v>590</v>
      </c>
      <c r="F61" s="13" t="s">
        <v>56</v>
      </c>
      <c r="G61" s="13" t="s">
        <v>47</v>
      </c>
      <c r="H61" s="13" t="s">
        <v>591</v>
      </c>
      <c r="I61" s="13" t="s">
        <v>592</v>
      </c>
      <c r="J61" s="13" t="s">
        <v>593</v>
      </c>
      <c r="K61" s="13" t="s">
        <v>594</v>
      </c>
      <c r="L61" s="13" t="s">
        <v>595</v>
      </c>
      <c r="M61" s="13" t="s">
        <v>596</v>
      </c>
      <c r="N61" s="13" t="s">
        <v>97</v>
      </c>
      <c r="O61" s="13" t="s">
        <v>94</v>
      </c>
      <c r="P61" s="13" t="s">
        <v>46</v>
      </c>
      <c r="Q61" s="13" t="s">
        <v>597</v>
      </c>
      <c r="R61" s="14" t="s">
        <v>20</v>
      </c>
      <c r="S61" s="14"/>
      <c r="T61" s="14"/>
      <c r="U61" s="14"/>
      <c r="V61" s="14"/>
      <c r="W61" s="14"/>
      <c r="X61" s="14"/>
    </row>
    <row r="62" customFormat="false" ht="34.5" hidden="false" customHeight="true" outlineLevel="0" collapsed="false">
      <c r="A62" s="13" t="s">
        <v>598</v>
      </c>
      <c r="B62" s="13" t="s">
        <v>40</v>
      </c>
      <c r="C62" s="13" t="s">
        <v>599</v>
      </c>
      <c r="D62" s="13" t="s">
        <v>600</v>
      </c>
      <c r="E62" s="13" t="s">
        <v>601</v>
      </c>
      <c r="F62" s="13" t="s">
        <v>56</v>
      </c>
      <c r="G62" s="13" t="s">
        <v>47</v>
      </c>
      <c r="H62" s="13" t="s">
        <v>602</v>
      </c>
      <c r="I62" s="13" t="s">
        <v>603</v>
      </c>
      <c r="J62" s="13" t="s">
        <v>604</v>
      </c>
      <c r="K62" s="13" t="s">
        <v>94</v>
      </c>
      <c r="L62" s="13" t="s">
        <v>489</v>
      </c>
      <c r="M62" s="13" t="s">
        <v>114</v>
      </c>
      <c r="N62" s="13" t="s">
        <v>605</v>
      </c>
      <c r="O62" s="13" t="s">
        <v>606</v>
      </c>
      <c r="P62" s="13" t="s">
        <v>46</v>
      </c>
      <c r="Q62" s="13" t="s">
        <v>607</v>
      </c>
      <c r="R62" s="14" t="s">
        <v>20</v>
      </c>
      <c r="S62" s="14"/>
      <c r="T62" s="14"/>
      <c r="U62" s="14"/>
      <c r="V62" s="14"/>
      <c r="W62" s="14"/>
      <c r="X62" s="14"/>
    </row>
    <row r="63" customFormat="false" ht="34.5" hidden="false" customHeight="true" outlineLevel="0" collapsed="false">
      <c r="A63" s="13" t="s">
        <v>608</v>
      </c>
      <c r="B63" s="13" t="s">
        <v>40</v>
      </c>
      <c r="C63" s="13" t="s">
        <v>609</v>
      </c>
      <c r="D63" s="13" t="s">
        <v>610</v>
      </c>
      <c r="E63" s="13" t="s">
        <v>611</v>
      </c>
      <c r="F63" s="13" t="s">
        <v>56</v>
      </c>
      <c r="G63" s="13" t="s">
        <v>47</v>
      </c>
      <c r="H63" s="13" t="s">
        <v>612</v>
      </c>
      <c r="I63" s="13" t="s">
        <v>613</v>
      </c>
      <c r="J63" s="13" t="s">
        <v>614</v>
      </c>
      <c r="K63" s="13" t="s">
        <v>308</v>
      </c>
      <c r="L63" s="13" t="s">
        <v>194</v>
      </c>
      <c r="M63" s="13" t="s">
        <v>290</v>
      </c>
      <c r="N63" s="13" t="s">
        <v>94</v>
      </c>
      <c r="O63" s="13" t="s">
        <v>94</v>
      </c>
      <c r="P63" s="13" t="s">
        <v>47</v>
      </c>
      <c r="Q63" s="13"/>
      <c r="R63" s="14" t="s">
        <v>20</v>
      </c>
      <c r="S63" s="14"/>
      <c r="T63" s="14"/>
      <c r="U63" s="14"/>
      <c r="V63" s="14"/>
      <c r="W63" s="14"/>
      <c r="X63" s="14"/>
    </row>
    <row r="64" customFormat="false" ht="34.5" hidden="false" customHeight="true" outlineLevel="0" collapsed="false">
      <c r="A64" s="13" t="s">
        <v>615</v>
      </c>
      <c r="B64" s="13" t="s">
        <v>40</v>
      </c>
      <c r="C64" s="13" t="s">
        <v>616</v>
      </c>
      <c r="D64" s="13" t="s">
        <v>617</v>
      </c>
      <c r="E64" s="13" t="s">
        <v>618</v>
      </c>
      <c r="F64" s="13" t="s">
        <v>60</v>
      </c>
      <c r="G64" s="13" t="s">
        <v>47</v>
      </c>
      <c r="H64" s="13" t="s">
        <v>619</v>
      </c>
      <c r="I64" s="13" t="s">
        <v>620</v>
      </c>
      <c r="J64" s="13" t="s">
        <v>621</v>
      </c>
      <c r="K64" s="13" t="s">
        <v>622</v>
      </c>
      <c r="L64" s="13" t="s">
        <v>623</v>
      </c>
      <c r="M64" s="13" t="s">
        <v>490</v>
      </c>
      <c r="N64" s="13" t="s">
        <v>97</v>
      </c>
      <c r="O64" s="13" t="s">
        <v>94</v>
      </c>
      <c r="P64" s="13" t="s">
        <v>18</v>
      </c>
      <c r="Q64" s="13"/>
      <c r="R64" s="14" t="s">
        <v>20</v>
      </c>
      <c r="S64" s="14"/>
      <c r="T64" s="14"/>
      <c r="U64" s="14"/>
      <c r="V64" s="14"/>
      <c r="W64" s="14"/>
      <c r="X64" s="14"/>
    </row>
    <row r="65" customFormat="false" ht="34.5" hidden="false" customHeight="true" outlineLevel="0" collapsed="false">
      <c r="A65" s="13" t="s">
        <v>624</v>
      </c>
      <c r="B65" s="13" t="s">
        <v>41</v>
      </c>
      <c r="C65" s="13" t="s">
        <v>625</v>
      </c>
      <c r="D65" s="13" t="s">
        <v>626</v>
      </c>
      <c r="E65" s="13" t="s">
        <v>627</v>
      </c>
      <c r="F65" s="13" t="s">
        <v>56</v>
      </c>
      <c r="G65" s="13" t="s">
        <v>47</v>
      </c>
      <c r="H65" s="13" t="s">
        <v>628</v>
      </c>
      <c r="I65" s="13" t="s">
        <v>629</v>
      </c>
      <c r="J65" s="13" t="s">
        <v>630</v>
      </c>
      <c r="K65" s="13" t="s">
        <v>94</v>
      </c>
      <c r="L65" s="13" t="s">
        <v>631</v>
      </c>
      <c r="M65" s="13" t="s">
        <v>205</v>
      </c>
      <c r="N65" s="13" t="s">
        <v>185</v>
      </c>
      <c r="O65" s="13" t="s">
        <v>94</v>
      </c>
      <c r="P65" s="13" t="s">
        <v>47</v>
      </c>
      <c r="Q65" s="13"/>
      <c r="R65" s="14" t="s">
        <v>20</v>
      </c>
      <c r="S65" s="14"/>
      <c r="T65" s="14"/>
      <c r="U65" s="14"/>
      <c r="V65" s="14"/>
      <c r="W65" s="14"/>
      <c r="X65" s="14"/>
    </row>
    <row r="66" customFormat="false" ht="34.5" hidden="false" customHeight="true" outlineLevel="0" collapsed="false">
      <c r="A66" s="13" t="s">
        <v>632</v>
      </c>
      <c r="B66" s="13" t="s">
        <v>41</v>
      </c>
      <c r="C66" s="13" t="s">
        <v>633</v>
      </c>
      <c r="D66" s="13" t="s">
        <v>634</v>
      </c>
      <c r="E66" s="13" t="s">
        <v>635</v>
      </c>
      <c r="F66" s="13" t="s">
        <v>56</v>
      </c>
      <c r="G66" s="13" t="s">
        <v>90</v>
      </c>
      <c r="H66" s="13" t="s">
        <v>636</v>
      </c>
      <c r="I66" s="13" t="s">
        <v>637</v>
      </c>
      <c r="J66" s="13" t="s">
        <v>93</v>
      </c>
      <c r="K66" s="13" t="s">
        <v>94</v>
      </c>
      <c r="L66" s="13" t="s">
        <v>638</v>
      </c>
      <c r="M66" s="13" t="s">
        <v>324</v>
      </c>
      <c r="N66" s="13" t="s">
        <v>94</v>
      </c>
      <c r="O66" s="13" t="s">
        <v>94</v>
      </c>
      <c r="P66" s="13" t="s">
        <v>47</v>
      </c>
      <c r="Q66" s="13"/>
      <c r="R66" s="14" t="s">
        <v>20</v>
      </c>
      <c r="S66" s="14"/>
      <c r="T66" s="14"/>
      <c r="U66" s="14"/>
      <c r="V66" s="14"/>
      <c r="W66" s="14"/>
      <c r="X66" s="14"/>
    </row>
    <row r="67" customFormat="false" ht="34.5" hidden="false" customHeight="true" outlineLevel="0" collapsed="false">
      <c r="A67" s="13" t="s">
        <v>639</v>
      </c>
      <c r="B67" s="13" t="s">
        <v>41</v>
      </c>
      <c r="C67" s="13" t="s">
        <v>640</v>
      </c>
      <c r="D67" s="13" t="s">
        <v>641</v>
      </c>
      <c r="E67" s="13" t="s">
        <v>642</v>
      </c>
      <c r="F67" s="13" t="s">
        <v>56</v>
      </c>
      <c r="G67" s="13" t="s">
        <v>47</v>
      </c>
      <c r="H67" s="13" t="s">
        <v>643</v>
      </c>
      <c r="I67" s="13" t="s">
        <v>644</v>
      </c>
      <c r="J67" s="13" t="s">
        <v>645</v>
      </c>
      <c r="K67" s="13" t="s">
        <v>94</v>
      </c>
      <c r="L67" s="13" t="s">
        <v>646</v>
      </c>
      <c r="M67" s="13" t="s">
        <v>205</v>
      </c>
      <c r="N67" s="13" t="s">
        <v>185</v>
      </c>
      <c r="O67" s="13" t="s">
        <v>94</v>
      </c>
      <c r="P67" s="13" t="s">
        <v>47</v>
      </c>
      <c r="Q67" s="13"/>
      <c r="R67" s="14" t="s">
        <v>20</v>
      </c>
      <c r="S67" s="14"/>
      <c r="T67" s="14"/>
      <c r="U67" s="14"/>
      <c r="V67" s="14"/>
      <c r="W67" s="14"/>
      <c r="X67" s="14"/>
    </row>
    <row r="68" customFormat="false" ht="23.25" hidden="false" customHeight="true" outlineLevel="0" collapsed="false">
      <c r="A68" s="13" t="s">
        <v>647</v>
      </c>
      <c r="B68" s="13" t="s">
        <v>42</v>
      </c>
      <c r="C68" s="13" t="s">
        <v>648</v>
      </c>
      <c r="D68" s="13" t="s">
        <v>649</v>
      </c>
      <c r="E68" s="13" t="s">
        <v>650</v>
      </c>
      <c r="F68" s="13" t="s">
        <v>52</v>
      </c>
      <c r="G68" s="13" t="s">
        <v>47</v>
      </c>
      <c r="H68" s="13" t="s">
        <v>651</v>
      </c>
      <c r="I68" s="13" t="s">
        <v>652</v>
      </c>
      <c r="J68" s="13" t="s">
        <v>94</v>
      </c>
      <c r="K68" s="13" t="s">
        <v>94</v>
      </c>
      <c r="L68" s="13" t="s">
        <v>480</v>
      </c>
      <c r="M68" s="13" t="s">
        <v>481</v>
      </c>
      <c r="N68" s="13" t="s">
        <v>653</v>
      </c>
      <c r="O68" s="13" t="s">
        <v>94</v>
      </c>
      <c r="P68" s="13" t="s">
        <v>47</v>
      </c>
      <c r="Q68" s="13"/>
      <c r="R68" s="14" t="s">
        <v>20</v>
      </c>
      <c r="S68" s="14"/>
      <c r="T68" s="14"/>
      <c r="U68" s="14"/>
      <c r="V68" s="14"/>
      <c r="W68" s="14"/>
      <c r="X68" s="14"/>
    </row>
    <row r="69" customFormat="false" ht="23.25" hidden="false" customHeight="true" outlineLevel="0" collapsed="false">
      <c r="A69" s="13" t="s">
        <v>654</v>
      </c>
      <c r="B69" s="13" t="s">
        <v>42</v>
      </c>
      <c r="C69" s="13" t="s">
        <v>655</v>
      </c>
      <c r="D69" s="13" t="s">
        <v>656</v>
      </c>
      <c r="E69" s="13" t="s">
        <v>657</v>
      </c>
      <c r="F69" s="13" t="s">
        <v>56</v>
      </c>
      <c r="G69" s="13" t="s">
        <v>47</v>
      </c>
      <c r="H69" s="13" t="s">
        <v>658</v>
      </c>
      <c r="I69" s="13" t="s">
        <v>659</v>
      </c>
      <c r="J69" s="13" t="s">
        <v>660</v>
      </c>
      <c r="K69" s="13" t="s">
        <v>94</v>
      </c>
      <c r="L69" s="13" t="s">
        <v>661</v>
      </c>
      <c r="M69" s="13" t="s">
        <v>662</v>
      </c>
      <c r="N69" s="13" t="s">
        <v>663</v>
      </c>
      <c r="O69" s="13" t="s">
        <v>94</v>
      </c>
      <c r="P69" s="13" t="s">
        <v>46</v>
      </c>
      <c r="Q69" s="13" t="s">
        <v>664</v>
      </c>
      <c r="R69" s="14" t="s">
        <v>20</v>
      </c>
      <c r="S69" s="14"/>
      <c r="T69" s="14"/>
      <c r="U69" s="14"/>
      <c r="V69" s="14"/>
      <c r="W69" s="14"/>
      <c r="X69" s="14"/>
    </row>
    <row r="70" customFormat="false" ht="34.5" hidden="false" customHeight="true" outlineLevel="0" collapsed="false">
      <c r="A70" s="13" t="s">
        <v>665</v>
      </c>
      <c r="B70" s="13" t="s">
        <v>42</v>
      </c>
      <c r="C70" s="13" t="s">
        <v>666</v>
      </c>
      <c r="D70" s="13" t="s">
        <v>667</v>
      </c>
      <c r="E70" s="13" t="s">
        <v>668</v>
      </c>
      <c r="F70" s="13" t="s">
        <v>60</v>
      </c>
      <c r="G70" s="13" t="s">
        <v>90</v>
      </c>
      <c r="H70" s="13" t="s">
        <v>669</v>
      </c>
      <c r="I70" s="13" t="s">
        <v>670</v>
      </c>
      <c r="J70" s="13" t="s">
        <v>94</v>
      </c>
      <c r="K70" s="13" t="s">
        <v>94</v>
      </c>
      <c r="L70" s="13" t="s">
        <v>671</v>
      </c>
      <c r="M70" s="13" t="s">
        <v>570</v>
      </c>
      <c r="N70" s="13" t="s">
        <v>185</v>
      </c>
      <c r="O70" s="13" t="s">
        <v>94</v>
      </c>
      <c r="P70" s="13" t="s">
        <v>18</v>
      </c>
      <c r="Q70" s="13" t="s">
        <v>672</v>
      </c>
      <c r="R70" s="14" t="s">
        <v>20</v>
      </c>
      <c r="S70" s="14"/>
      <c r="T70" s="14"/>
      <c r="U70" s="14"/>
      <c r="V70" s="14"/>
      <c r="W70" s="14"/>
      <c r="X70" s="14"/>
    </row>
    <row r="71" customFormat="false" ht="34.5" hidden="false" customHeight="true" outlineLevel="0" collapsed="false">
      <c r="A71" s="13" t="s">
        <v>673</v>
      </c>
      <c r="B71" s="13" t="s">
        <v>42</v>
      </c>
      <c r="C71" s="13" t="s">
        <v>674</v>
      </c>
      <c r="D71" s="13" t="s">
        <v>675</v>
      </c>
      <c r="E71" s="13" t="s">
        <v>676</v>
      </c>
      <c r="F71" s="13" t="s">
        <v>60</v>
      </c>
      <c r="G71" s="13" t="s">
        <v>90</v>
      </c>
      <c r="H71" s="13" t="s">
        <v>677</v>
      </c>
      <c r="I71" s="13" t="s">
        <v>678</v>
      </c>
      <c r="J71" s="13" t="s">
        <v>94</v>
      </c>
      <c r="K71" s="13" t="s">
        <v>94</v>
      </c>
      <c r="L71" s="13" t="s">
        <v>679</v>
      </c>
      <c r="M71" s="13" t="s">
        <v>662</v>
      </c>
      <c r="N71" s="13" t="s">
        <v>663</v>
      </c>
      <c r="O71" s="13" t="s">
        <v>94</v>
      </c>
      <c r="P71" s="13" t="s">
        <v>46</v>
      </c>
      <c r="Q71" s="13" t="s">
        <v>680</v>
      </c>
      <c r="R71" s="14" t="s">
        <v>20</v>
      </c>
      <c r="S71" s="14"/>
      <c r="T71" s="14"/>
      <c r="U71" s="14"/>
      <c r="V71" s="14"/>
      <c r="W71" s="14"/>
      <c r="X71" s="14"/>
    </row>
    <row r="72" customFormat="false" ht="23.25" hidden="false" customHeight="true" outlineLevel="0" collapsed="false">
      <c r="A72" s="13" t="s">
        <v>681</v>
      </c>
      <c r="B72" s="13" t="s">
        <v>42</v>
      </c>
      <c r="C72" s="13" t="s">
        <v>682</v>
      </c>
      <c r="D72" s="13" t="s">
        <v>683</v>
      </c>
      <c r="E72" s="13" t="s">
        <v>684</v>
      </c>
      <c r="F72" s="13" t="s">
        <v>56</v>
      </c>
      <c r="G72" s="13" t="s">
        <v>47</v>
      </c>
      <c r="H72" s="13" t="s">
        <v>685</v>
      </c>
      <c r="I72" s="13" t="s">
        <v>686</v>
      </c>
      <c r="J72" s="13" t="s">
        <v>687</v>
      </c>
      <c r="K72" s="13" t="s">
        <v>94</v>
      </c>
      <c r="L72" s="13" t="s">
        <v>579</v>
      </c>
      <c r="M72" s="13" t="s">
        <v>688</v>
      </c>
      <c r="N72" s="13" t="s">
        <v>689</v>
      </c>
      <c r="O72" s="13" t="s">
        <v>94</v>
      </c>
      <c r="P72" s="13" t="s">
        <v>18</v>
      </c>
      <c r="Q72" s="13" t="s">
        <v>690</v>
      </c>
      <c r="R72" s="14" t="s">
        <v>20</v>
      </c>
      <c r="S72" s="14"/>
      <c r="T72" s="14"/>
      <c r="U72" s="14"/>
      <c r="V72" s="14"/>
      <c r="W72" s="14"/>
      <c r="X72" s="14"/>
    </row>
    <row r="73" customFormat="false" ht="34.5" hidden="false" customHeight="true" outlineLevel="0" collapsed="false">
      <c r="A73" s="13" t="s">
        <v>691</v>
      </c>
      <c r="B73" s="13" t="s">
        <v>43</v>
      </c>
      <c r="C73" s="13" t="s">
        <v>692</v>
      </c>
      <c r="D73" s="13" t="s">
        <v>693</v>
      </c>
      <c r="E73" s="13" t="s">
        <v>694</v>
      </c>
      <c r="F73" s="13" t="s">
        <v>52</v>
      </c>
      <c r="G73" s="13" t="s">
        <v>90</v>
      </c>
      <c r="H73" s="13" t="s">
        <v>695</v>
      </c>
      <c r="I73" s="13" t="s">
        <v>696</v>
      </c>
      <c r="J73" s="13" t="s">
        <v>697</v>
      </c>
      <c r="K73" s="13" t="s">
        <v>94</v>
      </c>
      <c r="L73" s="13" t="s">
        <v>698</v>
      </c>
      <c r="M73" s="13" t="s">
        <v>699</v>
      </c>
      <c r="N73" s="13" t="s">
        <v>700</v>
      </c>
      <c r="O73" s="13" t="s">
        <v>94</v>
      </c>
      <c r="P73" s="13" t="s">
        <v>18</v>
      </c>
      <c r="Q73" s="13" t="s">
        <v>701</v>
      </c>
      <c r="R73" s="14" t="s">
        <v>20</v>
      </c>
      <c r="S73" s="14"/>
      <c r="T73" s="14"/>
      <c r="U73" s="14"/>
      <c r="V73" s="14"/>
      <c r="W73" s="14"/>
      <c r="X73" s="14"/>
    </row>
    <row r="74" customFormat="false" ht="23.25" hidden="false" customHeight="true" outlineLevel="0" collapsed="false">
      <c r="A74" s="13" t="s">
        <v>702</v>
      </c>
      <c r="B74" s="13" t="s">
        <v>43</v>
      </c>
      <c r="C74" s="13" t="s">
        <v>703</v>
      </c>
      <c r="D74" s="13" t="s">
        <v>704</v>
      </c>
      <c r="E74" s="13" t="s">
        <v>705</v>
      </c>
      <c r="F74" s="13" t="s">
        <v>56</v>
      </c>
      <c r="G74" s="13" t="s">
        <v>47</v>
      </c>
      <c r="H74" s="13" t="s">
        <v>706</v>
      </c>
      <c r="I74" s="13" t="s">
        <v>707</v>
      </c>
      <c r="J74" s="13" t="s">
        <v>708</v>
      </c>
      <c r="K74" s="13" t="s">
        <v>94</v>
      </c>
      <c r="L74" s="13" t="s">
        <v>709</v>
      </c>
      <c r="M74" s="13" t="s">
        <v>710</v>
      </c>
      <c r="N74" s="13" t="s">
        <v>522</v>
      </c>
      <c r="O74" s="13" t="s">
        <v>94</v>
      </c>
      <c r="P74" s="13" t="s">
        <v>47</v>
      </c>
      <c r="Q74" s="13"/>
      <c r="R74" s="14" t="s">
        <v>20</v>
      </c>
      <c r="S74" s="14"/>
      <c r="T74" s="14"/>
      <c r="U74" s="14"/>
      <c r="V74" s="14"/>
      <c r="W74" s="14"/>
      <c r="X74" s="14"/>
    </row>
  </sheetData>
  <autoFilter ref="A1:X74"/>
  <conditionalFormatting sqref="R2:R74">
    <cfRule type="expression" priority="2" aboveAverage="0" equalAverage="0" bottom="0" percent="0" rank="0" text="" dxfId="4">
      <formula>$R2="Compliant"</formula>
    </cfRule>
    <cfRule type="expression" priority="3" aboveAverage="0" equalAverage="0" bottom="0" percent="0" rank="0" text="" dxfId="5">
      <formula>$R2="Partial"</formula>
    </cfRule>
    <cfRule type="expression" priority="4" aboveAverage="0" equalAverage="0" bottom="0" percent="0" rank="0" text="" dxfId="6">
      <formula>$R2="Non-compliant"</formula>
    </cfRule>
    <cfRule type="expression" priority="5" aboveAverage="0" equalAverage="0" bottom="0" percent="0" rank="0" text="" dxfId="7">
      <formula>$R2="N/A"</formula>
    </cfRule>
  </conditionalFormatting>
  <conditionalFormatting sqref="T2:T74">
    <cfRule type="expression" priority="6" aboveAverage="0" equalAverage="0" bottom="0" percent="0" rank="0" text="" dxfId="6">
      <formula>$T2="High"</formula>
    </cfRule>
  </conditionalFormatting>
  <dataValidations count="3">
    <dataValidation allowBlank="true" errorStyle="stop" operator="between" showDropDown="false" showErrorMessage="false" showInputMessage="false" sqref="R2:R74" type="list">
      <formula1>"Not assessed,Compliant,Partial,Non-compliant,N/A"</formula1>
      <formula2>0</formula2>
    </dataValidation>
    <dataValidation allowBlank="true" errorStyle="stop" operator="between" showDropDown="false" showErrorMessage="false" showInputMessage="false" sqref="T2:T74" type="list">
      <formula1>"High,Medium,Low"</formula1>
      <formula2>0</formula2>
    </dataValidation>
    <dataValidation allowBlank="true" errorStyle="stop" operator="between" showDropDown="false" showErrorMessage="false" showInputMessage="false" sqref="V2:V74" type="list">
      <formula1>"S,M,L"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55"/>
    <col collapsed="false" customWidth="true" hidden="false" outlineLevel="0" max="3" min="3" style="1" width="45"/>
    <col collapsed="false" customWidth="true" hidden="false" outlineLevel="0" max="4" min="4" style="1" width="13"/>
    <col collapsed="false" customWidth="true" hidden="false" outlineLevel="0" max="5" min="5" style="1" width="14"/>
    <col collapsed="false" customWidth="true" hidden="false" outlineLevel="0" max="6" min="6" style="1" width="35"/>
    <col collapsed="false" customWidth="true" hidden="false" outlineLevel="0" max="7" min="7" style="1" width="18"/>
  </cols>
  <sheetData>
    <row r="1" customFormat="false" ht="17.25" hidden="false" customHeight="true" outlineLevel="0" collapsed="false">
      <c r="A1" s="5" t="s">
        <v>711</v>
      </c>
    </row>
    <row r="2" customFormat="false" ht="15" hidden="false" customHeight="true" outlineLevel="0" collapsed="false">
      <c r="A2" s="10" t="s">
        <v>712</v>
      </c>
      <c r="B2" s="15"/>
      <c r="C2" s="10" t="s">
        <v>713</v>
      </c>
      <c r="D2" s="15"/>
      <c r="E2" s="10" t="s">
        <v>714</v>
      </c>
      <c r="F2" s="15"/>
    </row>
    <row r="4" customFormat="false" ht="23.25" hidden="false" customHeight="true" outlineLevel="0" collapsed="false">
      <c r="A4" s="6" t="s">
        <v>64</v>
      </c>
      <c r="B4" s="6" t="s">
        <v>715</v>
      </c>
      <c r="C4" s="6" t="s">
        <v>716</v>
      </c>
      <c r="D4" s="6" t="s">
        <v>48</v>
      </c>
      <c r="E4" s="6" t="s">
        <v>717</v>
      </c>
      <c r="F4" s="6" t="s">
        <v>718</v>
      </c>
      <c r="G4" s="6" t="s">
        <v>719</v>
      </c>
    </row>
    <row r="5" customFormat="false" ht="23.25" hidden="false" customHeight="true" outlineLevel="0" collapsed="false">
      <c r="A5" s="13" t="s">
        <v>86</v>
      </c>
      <c r="B5" s="13" t="str">
        <f aca="false">INDEX(Controls!$C$2:$C$74,MATCH($A5,Controls!$A$2:$A$74,0))</f>
        <v>Every way into the office (main door, side doors, fire exits, goods lift) is locked and only opens with a badge or key.</v>
      </c>
      <c r="C5" s="13" t="str">
        <f aca="false">INDEX(Controls!$H$2:$H$74,MATCH($A5,Controls!$A$2:$A$74,0))</f>
        <v>Walk every entrance. From the outside, try each door without a badge. Note any door that opens.</v>
      </c>
      <c r="D5" s="13" t="str">
        <f aca="false">INDEX(Controls!$F$2:$F$74,MATCH($A5,Controls!$A$2:$A$74,0))</f>
        <v>☠ Easy</v>
      </c>
      <c r="E5" s="14"/>
      <c r="F5" s="14"/>
      <c r="G5" s="13" t="str">
        <f aca="false">INDEX(Controls!$R$2:$R$74,MATCH($A5,Controls!$A$2:$A$74,0))</f>
        <v>Not assessed</v>
      </c>
    </row>
    <row r="6" customFormat="false" ht="23.25" hidden="false" customHeight="true" outlineLevel="0" collapsed="false">
      <c r="A6" s="13" t="s">
        <v>107</v>
      </c>
      <c r="B6" s="13" t="str">
        <f aca="false">INDEX(Controls!$C$2:$C$74,MATCH($A6,Controls!$A$2:$A$74,0))</f>
        <v>Staff know to challenge or report anyone they don't recognise following them in.</v>
      </c>
      <c r="C6" s="13" t="str">
        <f aca="false">INDEX(Controls!$H$2:$H$74,MATCH($A6,Controls!$A$2:$A$74,0))</f>
        <v>Ask 3 people in the office: 'What do you do if someone you don't know follows you through the door?'</v>
      </c>
      <c r="D6" s="13" t="str">
        <f aca="false">INDEX(Controls!$F$2:$F$74,MATCH($A6,Controls!$A$2:$A$74,0))</f>
        <v>☠☠ Medium</v>
      </c>
      <c r="E6" s="14"/>
      <c r="F6" s="14"/>
      <c r="G6" s="13" t="str">
        <f aca="false">INDEX(Controls!$R$2:$R$74,MATCH($A6,Controls!$A$2:$A$74,0))</f>
        <v>Not assessed</v>
      </c>
    </row>
    <row r="7" customFormat="false" ht="23.25" hidden="false" customHeight="true" outlineLevel="0" collapsed="false">
      <c r="A7" s="13" t="s">
        <v>144</v>
      </c>
      <c r="B7" s="13" t="str">
        <f aca="false">INDEX(Controls!$C$2:$C$74,MATCH($A7,Controls!$A$2:$A$74,0))</f>
        <v>Every visitor's identity is checked against a photo ID on arrival (viewed, not copied).</v>
      </c>
      <c r="C7" s="13" t="str">
        <f aca="false">INDEX(Controls!$H$2:$H$74,MATCH($A7,Controls!$A$2:$A$74,0))</f>
        <v>Arrive as / with a visitor. Is ID requested and actually looked at?</v>
      </c>
      <c r="D7" s="13" t="str">
        <f aca="false">INDEX(Controls!$F$2:$F$74,MATCH($A7,Controls!$A$2:$A$74,0))</f>
        <v>☠☠ Medium</v>
      </c>
      <c r="E7" s="14"/>
      <c r="F7" s="14"/>
      <c r="G7" s="13" t="str">
        <f aca="false">INDEX(Controls!$R$2:$R$74,MATCH($A7,Controls!$A$2:$A$74,0))</f>
        <v>Not assessed</v>
      </c>
    </row>
    <row r="8" customFormat="false" ht="23.25" hidden="false" customHeight="true" outlineLevel="0" collapsed="false">
      <c r="A8" s="13" t="s">
        <v>154</v>
      </c>
      <c r="B8" s="13" t="str">
        <f aca="false">INDEX(Controls!$C$2:$C$74,MATCH($A8,Controls!$A$2:$A$74,0))</f>
        <v>Every visitor is logged: name, company, host, time in, time out.</v>
      </c>
      <c r="C8" s="13" t="str">
        <f aca="false">INDEX(Controls!$H$2:$H$74,MATCH($A8,Controls!$A$2:$A$74,0))</f>
        <v>Check whether there's a visitor book or digital log. Is today's visitor in it?</v>
      </c>
      <c r="D8" s="13" t="str">
        <f aca="false">INDEX(Controls!$F$2:$F$74,MATCH($A8,Controls!$A$2:$A$74,0))</f>
        <v>☠ Easy</v>
      </c>
      <c r="E8" s="14"/>
      <c r="F8" s="14"/>
      <c r="G8" s="13" t="str">
        <f aca="false">INDEX(Controls!$R$2:$R$74,MATCH($A8,Controls!$A$2:$A$74,0))</f>
        <v>Not assessed</v>
      </c>
    </row>
    <row r="9" customFormat="false" ht="23.25" hidden="false" customHeight="true" outlineLevel="0" collapsed="false">
      <c r="A9" s="13" t="s">
        <v>162</v>
      </c>
      <c r="B9" s="13" t="str">
        <f aca="false">INDEX(Controls!$C$2:$C$74,MATCH($A9,Controls!$A$2:$A$74,0))</f>
        <v>Visitors are accompanied by their host at all times outside meeting rooms.</v>
      </c>
      <c r="C9" s="13" t="str">
        <f aca="false">INDEX(Controls!$H$2:$H$74,MATCH($A9,Controls!$A$2:$A$74,0))</f>
        <v>Observe a visit. Was the visitor left alone in open areas?</v>
      </c>
      <c r="D9" s="13" t="str">
        <f aca="false">INDEX(Controls!$F$2:$F$74,MATCH($A9,Controls!$A$2:$A$74,0))</f>
        <v>☠☠ Medium</v>
      </c>
      <c r="E9" s="14"/>
      <c r="F9" s="14"/>
      <c r="G9" s="13" t="str">
        <f aca="false">INDEX(Controls!$R$2:$R$74,MATCH($A9,Controls!$A$2:$A$74,0))</f>
        <v>Not assessed</v>
      </c>
    </row>
    <row r="10" customFormat="false" ht="23.25" hidden="false" customHeight="true" outlineLevel="0" collapsed="false">
      <c r="A10" s="13" t="s">
        <v>169</v>
      </c>
      <c r="B10" s="13" t="str">
        <f aca="false">INDEX(Controls!$C$2:$C$74,MATCH($A10,Controls!$A$2:$A$74,0))</f>
        <v>Visitors wear a visibly different badge that stops working at the end of the day and is returned.</v>
      </c>
      <c r="C10" s="13" t="str">
        <f aca="false">INDEX(Controls!$H$2:$H$74,MATCH($A10,Controls!$A$2:$A$74,0))</f>
        <v>Look at a visitor badge. Does it look different? Does it expire? Count issued vs returned.</v>
      </c>
      <c r="D10" s="13" t="str">
        <f aca="false">INDEX(Controls!$F$2:$F$74,MATCH($A10,Controls!$A$2:$A$74,0))</f>
        <v>☠☠ Medium</v>
      </c>
      <c r="E10" s="14"/>
      <c r="F10" s="14"/>
      <c r="G10" s="13" t="str">
        <f aca="false">INDEX(Controls!$R$2:$R$74,MATCH($A10,Controls!$A$2:$A$74,0))</f>
        <v>Not assessed</v>
      </c>
    </row>
    <row r="11" customFormat="false" ht="23.25" hidden="false" customHeight="true" outlineLevel="0" collapsed="false">
      <c r="A11" s="13" t="s">
        <v>176</v>
      </c>
      <c r="B11" s="13" t="str">
        <f aca="false">INDEX(Controls!$C$2:$C$74,MATCH($A11,Controls!$A$2:$A$74,0))</f>
        <v>Visitors who will see more than a meeting room sign an NDA before they enter.</v>
      </c>
      <c r="C11" s="13" t="str">
        <f aca="false">INDEX(Controls!$H$2:$H$74,MATCH($A11,Controls!$A$2:$A$74,0))</f>
        <v>Ask the host: was an NDA signed? Where is it stored?</v>
      </c>
      <c r="D11" s="13" t="str">
        <f aca="false">INDEX(Controls!$F$2:$F$74,MATCH($A11,Controls!$A$2:$A$74,0))</f>
        <v>☠☠ Medium</v>
      </c>
      <c r="E11" s="14"/>
      <c r="F11" s="14"/>
      <c r="G11" s="13" t="str">
        <f aca="false">INDEX(Controls!$R$2:$R$74,MATCH($A11,Controls!$A$2:$A$74,0))</f>
        <v>Not assessed</v>
      </c>
    </row>
    <row r="12" customFormat="false" ht="23.25" hidden="false" customHeight="true" outlineLevel="0" collapsed="false">
      <c r="A12" s="13" t="s">
        <v>187</v>
      </c>
      <c r="B12" s="13" t="str">
        <f aca="false">INDEX(Controls!$C$2:$C$74,MATCH($A12,Controls!$A$2:$A$74,0))</f>
        <v>Visitors receive a short privacy notice (visitor log, CCTV, Wi-Fi) before or at arrival.</v>
      </c>
      <c r="C12" s="13" t="str">
        <f aca="false">INDEX(Controls!$H$2:$H$74,MATCH($A12,Controls!$A$2:$A$74,0))</f>
        <v>Is there a notice at reception or in the invite email?</v>
      </c>
      <c r="D12" s="13" t="str">
        <f aca="false">INDEX(Controls!$F$2:$F$74,MATCH($A12,Controls!$A$2:$A$74,0))</f>
        <v>☠ Easy</v>
      </c>
      <c r="E12" s="14"/>
      <c r="F12" s="14"/>
      <c r="G12" s="13" t="str">
        <f aca="false">INDEX(Controls!$R$2:$R$74,MATCH($A12,Controls!$A$2:$A$74,0))</f>
        <v>Not assessed</v>
      </c>
    </row>
    <row r="13" customFormat="false" ht="23.25" hidden="false" customHeight="true" outlineLevel="0" collapsed="false">
      <c r="A13" s="13" t="s">
        <v>273</v>
      </c>
      <c r="B13" s="13" t="str">
        <f aca="false">INDEX(Controls!$C$2:$C$74,MATCH($A13,Controls!$A$2:$A$74,0))</f>
        <v>CCTV signs are posted before people enter the filmed area, with a link/QR to the full notice.</v>
      </c>
      <c r="C13" s="13" t="str">
        <f aca="false">INDEX(Controls!$H$2:$H$74,MATCH($A13,Controls!$A$2:$A$74,0))</f>
        <v>Check every entrance for a sign.</v>
      </c>
      <c r="D13" s="13" t="str">
        <f aca="false">INDEX(Controls!$F$2:$F$74,MATCH($A13,Controls!$A$2:$A$74,0))</f>
        <v>☠ Easy</v>
      </c>
      <c r="E13" s="14"/>
      <c r="F13" s="14"/>
      <c r="G13" s="13" t="str">
        <f aca="false">INDEX(Controls!$R$2:$R$74,MATCH($A13,Controls!$A$2:$A$74,0))</f>
        <v>Not assessed</v>
      </c>
    </row>
    <row r="14" customFormat="false" ht="23.25" hidden="false" customHeight="true" outlineLevel="0" collapsed="false">
      <c r="A14" s="13" t="s">
        <v>317</v>
      </c>
      <c r="B14" s="13" t="str">
        <f aca="false">INDEX(Controls!$C$2:$C$74,MATCH($A14,Controls!$A$2:$A$74,0))</f>
        <v>Clean desk: no customer documents, passwords, post-its or notebooks with customer data left on desks.</v>
      </c>
      <c r="C14" s="13" t="str">
        <f aca="false">INDEX(Controls!$H$2:$H$74,MATCH($A14,Controls!$A$2:$A$74,0))</f>
        <v>Walk the office at end of day. Photograph anything sensitive left out (blur it).</v>
      </c>
      <c r="D14" s="13" t="str">
        <f aca="false">INDEX(Controls!$F$2:$F$74,MATCH($A14,Controls!$A$2:$A$74,0))</f>
        <v>☠☠ Medium</v>
      </c>
      <c r="E14" s="14"/>
      <c r="F14" s="14"/>
      <c r="G14" s="13" t="str">
        <f aca="false">INDEX(Controls!$R$2:$R$74,MATCH($A14,Controls!$A$2:$A$74,0))</f>
        <v>Not assessed</v>
      </c>
    </row>
    <row r="15" customFormat="false" ht="15" hidden="false" customHeight="true" outlineLevel="0" collapsed="false">
      <c r="A15" s="13" t="s">
        <v>325</v>
      </c>
      <c r="B15" s="13" t="str">
        <f aca="false">INDEX(Controls!$C$2:$C$74,MATCH($A15,Controls!$A$2:$A$74,0))</f>
        <v>Laptops lock automatically after a short idle time; enforced centrally.</v>
      </c>
      <c r="C15" s="13" t="str">
        <f aca="false">INDEX(Controls!$H$2:$H$74,MATCH($A15,Controls!$A$2:$A$74,0))</f>
        <v>Ask IT for the MDM policy. Test: leave a laptop idle.</v>
      </c>
      <c r="D15" s="13" t="str">
        <f aca="false">INDEX(Controls!$F$2:$F$74,MATCH($A15,Controls!$A$2:$A$74,0))</f>
        <v>☠☠ Medium</v>
      </c>
      <c r="E15" s="14"/>
      <c r="F15" s="14"/>
      <c r="G15" s="13" t="str">
        <f aca="false">INDEX(Controls!$R$2:$R$74,MATCH($A15,Controls!$A$2:$A$74,0))</f>
        <v>Not assessed</v>
      </c>
    </row>
    <row r="16" customFormat="false" ht="34.5" hidden="false" customHeight="true" outlineLevel="0" collapsed="false">
      <c r="A16" s="13" t="s">
        <v>333</v>
      </c>
      <c r="B16" s="13" t="str">
        <f aca="false">INDEX(Controls!$C$2:$C$74,MATCH($A16,Controls!$A$2:$A$74,0))</f>
        <v>Screens showing customer screen recordings or customer systems can't be seen from windows, corridors or shared areas; privacy filters where needed.</v>
      </c>
      <c r="C16" s="13" t="str">
        <f aca="false">INDEX(Controls!$H$2:$H$74,MATCH($A16,Controls!$A$2:$A$74,0))</f>
        <v>Stand at windows, doors and shared areas. Can you read any screen?</v>
      </c>
      <c r="D16" s="13" t="str">
        <f aca="false">INDEX(Controls!$F$2:$F$74,MATCH($A16,Controls!$A$2:$A$74,0))</f>
        <v>☠☠☠ Hard</v>
      </c>
      <c r="E16" s="14"/>
      <c r="F16" s="14"/>
      <c r="G16" s="13" t="str">
        <f aca="false">INDEX(Controls!$R$2:$R$74,MATCH($A16,Controls!$A$2:$A$74,0))</f>
        <v>Not assessed</v>
      </c>
    </row>
    <row r="17" customFormat="false" ht="23.25" hidden="false" customHeight="true" outlineLevel="0" collapsed="false">
      <c r="A17" s="13" t="s">
        <v>340</v>
      </c>
      <c r="B17" s="13" t="str">
        <f aca="false">INDEX(Controls!$C$2:$C$74,MATCH($A17,Controls!$A$2:$A$74,0))</f>
        <v>Whiteboards and meeting rooms are cleared after use. No customer names, pipeline or architecture left on walls.</v>
      </c>
      <c r="C17" s="13" t="str">
        <f aca="false">INDEX(Controls!$H$2:$H$74,MATCH($A17,Controls!$A$2:$A$74,0))</f>
        <v>Check every meeting room and whiteboard.</v>
      </c>
      <c r="D17" s="13" t="str">
        <f aca="false">INDEX(Controls!$F$2:$F$74,MATCH($A17,Controls!$A$2:$A$74,0))</f>
        <v>☠☠ Medium</v>
      </c>
      <c r="E17" s="14"/>
      <c r="F17" s="14"/>
      <c r="G17" s="13" t="str">
        <f aca="false">INDEX(Controls!$R$2:$R$74,MATCH($A17,Controls!$A$2:$A$74,0))</f>
        <v>Not assessed</v>
      </c>
    </row>
    <row r="18" customFormat="false" ht="23.25" hidden="false" customHeight="true" outlineLevel="0" collapsed="false">
      <c r="A18" s="13" t="s">
        <v>347</v>
      </c>
      <c r="B18" s="13" t="str">
        <f aca="false">INDEX(Controls!$C$2:$C$74,MATCH($A18,Controls!$A$2:$A$74,0))</f>
        <v>Meeting-room recording and AI note-takers are announced to attendees, and room devices aren't left recording.</v>
      </c>
      <c r="C18" s="13" t="str">
        <f aca="false">INDEX(Controls!$H$2:$H$74,MATCH($A18,Controls!$A$2:$A$74,0))</f>
        <v>Check room devices; ask which note-taker tools are used.</v>
      </c>
      <c r="D18" s="13" t="str">
        <f aca="false">INDEX(Controls!$F$2:$F$74,MATCH($A18,Controls!$A$2:$A$74,0))</f>
        <v>☠☠ Medium</v>
      </c>
      <c r="E18" s="14"/>
      <c r="F18" s="14"/>
      <c r="G18" s="13" t="str">
        <f aca="false">INDEX(Controls!$R$2:$R$74,MATCH($A18,Controls!$A$2:$A$74,0))</f>
        <v>Not assessed</v>
      </c>
    </row>
    <row r="19" customFormat="false" ht="57" hidden="false" customHeight="true" outlineLevel="0" collapsed="false">
      <c r="A19" s="13" t="s">
        <v>363</v>
      </c>
      <c r="B19" s="13" t="str">
        <f aca="false">INDEX(Controls!$C$2:$C$74,MATCH($A19,Controls!$A$2:$A$74,0))</f>
        <v>Clean desk &amp; clear screen walk-around: unattended desks have no unlocked screens, open laptops, documents, post-its or badges left behind.</v>
      </c>
      <c r="C19" s="13" t="str">
        <f aca="false">INDEX(Controls!$H$2:$H$74,MATCH($A19,Controls!$A$2:$A$74,0))</f>
        <v>Twice a day (e.g., at lunch and after 18:00), walk every desk. For each unattended desk note: screen unlocked? laptop left open/unsecured? paper, post-its, notebooks, badge left out? Do not touch anything; photograph and blur.</v>
      </c>
      <c r="D19" s="13" t="str">
        <f aca="false">INDEX(Controls!$F$2:$F$74,MATCH($A19,Controls!$A$2:$A$74,0))</f>
        <v>☠☠ Medium</v>
      </c>
      <c r="E19" s="14"/>
      <c r="F19" s="14"/>
      <c r="G19" s="13" t="str">
        <f aca="false">INDEX(Controls!$R$2:$R$74,MATCH($A19,Controls!$A$2:$A$74,0))</f>
        <v>Not assessed</v>
      </c>
    </row>
    <row r="20" customFormat="false" ht="23.25" hidden="false" customHeight="true" outlineLevel="0" collapsed="false">
      <c r="A20" s="13" t="s">
        <v>371</v>
      </c>
      <c r="B20" s="13" t="str">
        <f aca="false">INDEX(Controls!$C$2:$C$74,MATCH($A20,Controls!$A$2:$A$74,0))</f>
        <v>Guest Wi-Fi is separate from the staff/corporate network.</v>
      </c>
      <c r="C20" s="13" t="str">
        <f aca="false">INDEX(Controls!$H$2:$H$74,MATCH($A20,Controls!$A$2:$A$74,0))</f>
        <v>Join guest Wi-Fi. Can you see staff devices or the printer?</v>
      </c>
      <c r="D20" s="13" t="str">
        <f aca="false">INDEX(Controls!$F$2:$F$74,MATCH($A20,Controls!$A$2:$A$74,0))</f>
        <v>☠☠ Medium</v>
      </c>
      <c r="E20" s="14"/>
      <c r="F20" s="14"/>
      <c r="G20" s="13" t="str">
        <f aca="false">INDEX(Controls!$R$2:$R$74,MATCH($A20,Controls!$A$2:$A$74,0))</f>
        <v>Not assessed</v>
      </c>
    </row>
    <row r="21" customFormat="false" ht="23.25" hidden="false" customHeight="true" outlineLevel="0" collapsed="false">
      <c r="A21" s="13" t="s">
        <v>379</v>
      </c>
      <c r="B21" s="13" t="str">
        <f aca="false">INDEX(Controls!$C$2:$C$74,MATCH($A21,Controls!$A$2:$A$74,0))</f>
        <v>Wi-Fi uses strong encryption; the guest password rotates and is not written on the wall.</v>
      </c>
      <c r="C21" s="13" t="str">
        <f aca="false">INDEX(Controls!$H$2:$H$74,MATCH($A21,Controls!$A$2:$A$74,0))</f>
        <v>Look for written passwords. Check Wi-Fi security type.</v>
      </c>
      <c r="D21" s="13" t="str">
        <f aca="false">INDEX(Controls!$F$2:$F$74,MATCH($A21,Controls!$A$2:$A$74,0))</f>
        <v>☠☠ Medium</v>
      </c>
      <c r="E21" s="14"/>
      <c r="F21" s="14"/>
      <c r="G21" s="13" t="str">
        <f aca="false">INDEX(Controls!$R$2:$R$74,MATCH($A21,Controls!$A$2:$A$74,0))</f>
        <v>Not assessed</v>
      </c>
    </row>
    <row r="22" customFormat="false" ht="23.25" hidden="false" customHeight="true" outlineLevel="0" collapsed="false">
      <c r="A22" s="13" t="s">
        <v>422</v>
      </c>
      <c r="B22" s="13" t="str">
        <f aca="false">INDEX(Controls!$C$2:$C$74,MATCH($A22,Controls!$A$2:$A$74,0))</f>
        <v>Printers use secure release (print only when you badge in), admin password changed, and scan-to-email locked down.</v>
      </c>
      <c r="C22" s="13" t="str">
        <f aca="false">INDEX(Controls!$H$2:$H$74,MATCH($A22,Controls!$A$2:$A$74,0))</f>
        <v>Print something. Does it wait for you? Check the tray for left prints.</v>
      </c>
      <c r="D22" s="13" t="str">
        <f aca="false">INDEX(Controls!$F$2:$F$74,MATCH($A22,Controls!$A$2:$A$74,0))</f>
        <v>☠☠ Medium</v>
      </c>
      <c r="E22" s="14"/>
      <c r="F22" s="14"/>
      <c r="G22" s="13" t="str">
        <f aca="false">INDEX(Controls!$R$2:$R$74,MATCH($A22,Controls!$A$2:$A$74,0))</f>
        <v>Not assessed</v>
      </c>
    </row>
    <row r="23" customFormat="false" ht="23.25" hidden="false" customHeight="true" outlineLevel="0" collapsed="false">
      <c r="A23" s="13" t="s">
        <v>446</v>
      </c>
      <c r="B23" s="13" t="str">
        <f aca="false">INDEX(Controls!$C$2:$C$74,MATCH($A23,Controls!$A$2:$A$74,0))</f>
        <v>Locked confidential-waste bins or a shredder are available, and they are used.</v>
      </c>
      <c r="C23" s="13" t="str">
        <f aca="false">INDEX(Controls!$H$2:$H$74,MATCH($A23,Controls!$A$2:$A$74,0))</f>
        <v>Look for bins. Check the paper recycling for sensitive paper.</v>
      </c>
      <c r="D23" s="13" t="str">
        <f aca="false">INDEX(Controls!$F$2:$F$74,MATCH($A23,Controls!$A$2:$A$74,0))</f>
        <v>☠☠ Medium</v>
      </c>
      <c r="E23" s="14"/>
      <c r="F23" s="14"/>
      <c r="G23" s="13" t="str">
        <f aca="false">INDEX(Controls!$R$2:$R$74,MATCH($A23,Controls!$A$2:$A$74,0))</f>
        <v>Not assessed</v>
      </c>
    </row>
    <row r="24" customFormat="false" ht="23.25" hidden="false" customHeight="true" outlineLevel="0" collapsed="false">
      <c r="A24" s="13" t="s">
        <v>540</v>
      </c>
      <c r="B24" s="13" t="str">
        <f aca="false">INDEX(Controls!$C$2:$C$74,MATCH($A24,Controls!$A$2:$A$74,0))</f>
        <v>Escape routes are marked, never blocked, and emergency lighting works.</v>
      </c>
      <c r="C24" s="13" t="str">
        <f aca="false">INDEX(Controls!$H$2:$H$74,MATCH($A24,Controls!$A$2:$A$74,0))</f>
        <v>Walk escape routes. Anything stored in them?</v>
      </c>
      <c r="D24" s="13" t="str">
        <f aca="false">INDEX(Controls!$F$2:$F$74,MATCH($A24,Controls!$A$2:$A$74,0))</f>
        <v>☠ Easy</v>
      </c>
      <c r="E24" s="14"/>
      <c r="F24" s="14"/>
      <c r="G24" s="13" t="str">
        <f aca="false">INDEX(Controls!$R$2:$R$74,MATCH($A24,Controls!$A$2:$A$74,0))</f>
        <v>Not assessed</v>
      </c>
    </row>
    <row r="25" customFormat="false" ht="23.25" hidden="false" customHeight="true" outlineLevel="0" collapsed="false">
      <c r="A25" s="13" t="s">
        <v>547</v>
      </c>
      <c r="B25" s="13" t="str">
        <f aca="false">INDEX(Controls!$C$2:$C$74,MATCH($A25,Controls!$A$2:$A$74,0))</f>
        <v>An evacuation plan and assembly point are posted, and visitors are told; the visitor log is used for headcount.</v>
      </c>
      <c r="C25" s="13" t="str">
        <f aca="false">INDEX(Controls!$H$2:$H$74,MATCH($A25,Controls!$A$2:$A$74,0))</f>
        <v>Find the evacuation plan. Ask a visitor if they were told the assembly point.</v>
      </c>
      <c r="D25" s="13" t="str">
        <f aca="false">INDEX(Controls!$F$2:$F$74,MATCH($A25,Controls!$A$2:$A$74,0))</f>
        <v>☠ Easy</v>
      </c>
      <c r="E25" s="14"/>
      <c r="F25" s="14"/>
      <c r="G25" s="13" t="str">
        <f aca="false">INDEX(Controls!$R$2:$R$74,MATCH($A25,Controls!$A$2:$A$74,0))</f>
        <v>Not assessed</v>
      </c>
    </row>
    <row r="26" customFormat="false" ht="23.25" hidden="false" customHeight="true" outlineLevel="0" collapsed="false">
      <c r="A26" s="13" t="s">
        <v>632</v>
      </c>
      <c r="B26" s="13" t="str">
        <f aca="false">INDEX(Controls!$C$2:$C$74,MATCH($A26,Controls!$A$2:$A$74,0))</f>
        <v>Shared spaces (reception, kitchen, shared meeting rooms) are treated as public: no confidential material or conversations.</v>
      </c>
      <c r="C26" s="13" t="str">
        <f aca="false">INDEX(Controls!$H$2:$H$74,MATCH($A26,Controls!$A$2:$A$74,0))</f>
        <v>Identify shared spaces. Check for left material.</v>
      </c>
      <c r="D26" s="13" t="str">
        <f aca="false">INDEX(Controls!$F$2:$F$74,MATCH($A26,Controls!$A$2:$A$74,0))</f>
        <v>☠☠ Medium</v>
      </c>
      <c r="E26" s="14"/>
      <c r="F26" s="14"/>
      <c r="G26" s="13" t="str">
        <f aca="false">INDEX(Controls!$R$2:$R$74,MATCH($A26,Controls!$A$2:$A$74,0))</f>
        <v>Not assessed</v>
      </c>
    </row>
    <row r="27" customFormat="false" ht="34.5" hidden="false" customHeight="true" outlineLevel="0" collapsed="false">
      <c r="A27" s="13" t="s">
        <v>665</v>
      </c>
      <c r="B27" s="13" t="str">
        <f aca="false">INDEX(Controls!$C$2:$C$74,MATCH($A27,Controls!$A$2:$A$74,0))</f>
        <v>A client-visit evidence pack is ready: certifications or roadmap, key policies, this office's latest audit results, contact for security questions.</v>
      </c>
      <c r="C27" s="13" t="str">
        <f aca="false">INDEX(Controls!$H$2:$H$74,MATCH($A27,Controls!$A$2:$A$74,0))</f>
        <v>Check the pack exists and is current (&lt; 3 months).</v>
      </c>
      <c r="D27" s="13" t="str">
        <f aca="false">INDEX(Controls!$F$2:$F$74,MATCH($A27,Controls!$A$2:$A$74,0))</f>
        <v>☠☠☠ Hard</v>
      </c>
      <c r="E27" s="14"/>
      <c r="F27" s="14"/>
      <c r="G27" s="13" t="str">
        <f aca="false">INDEX(Controls!$R$2:$R$74,MATCH($A27,Controls!$A$2:$A$74,0))</f>
        <v>Not assessed</v>
      </c>
    </row>
    <row r="28" customFormat="false" ht="23.25" hidden="false" customHeight="true" outlineLevel="0" collapsed="false">
      <c r="A28" s="13" t="s">
        <v>673</v>
      </c>
      <c r="B28" s="13" t="str">
        <f aca="false">INDEX(Controls!$C$2:$C$74,MATCH($A28,Controls!$A$2:$A$74,0))</f>
        <v>A quick pre-visit check (the 'Client visit' tab) is run within 24 h before every client or auditor visit.</v>
      </c>
      <c r="C28" s="13" t="str">
        <f aca="false">INDEX(Controls!$H$2:$H$74,MATCH($A28,Controls!$A$2:$A$74,0))</f>
        <v>Check the record for the last client visit.</v>
      </c>
      <c r="D28" s="13" t="str">
        <f aca="false">INDEX(Controls!$F$2:$F$74,MATCH($A28,Controls!$A$2:$A$74,0))</f>
        <v>☠☠☠ Hard</v>
      </c>
      <c r="E28" s="14"/>
      <c r="F28" s="14"/>
      <c r="G28" s="13" t="str">
        <f aca="false">INDEX(Controls!$R$2:$R$74,MATCH($A28,Controls!$A$2:$A$74,0))</f>
        <v>Not assessed</v>
      </c>
    </row>
    <row r="29" customFormat="false" ht="23.25" hidden="false" customHeight="true" outlineLevel="0" collapsed="false">
      <c r="A29" s="13" t="s">
        <v>691</v>
      </c>
      <c r="B29" s="13" t="str">
        <f aca="false">INDEX(Controls!$C$2:$C$74,MATCH($A29,Controls!$A$2:$A$74,0))</f>
        <v>Everyone knows how to report a physical security event (stranger, break-in, lost laptop/badge) and it's posted in the office.</v>
      </c>
      <c r="C29" s="13" t="str">
        <f aca="false">INDEX(Controls!$H$2:$H$74,MATCH($A29,Controls!$A$2:$A$74,0))</f>
        <v>Ask 2 people how they'd report a lost laptop. Look for the notice.</v>
      </c>
      <c r="D29" s="13" t="str">
        <f aca="false">INDEX(Controls!$F$2:$F$74,MATCH($A29,Controls!$A$2:$A$74,0))</f>
        <v>☠ Easy</v>
      </c>
      <c r="E29" s="14"/>
      <c r="F29" s="14"/>
      <c r="G29" s="13" t="str">
        <f aca="false">INDEX(Controls!$R$2:$R$74,MATCH($A29,Controls!$A$2:$A$74,0))</f>
        <v>Not assessed</v>
      </c>
    </row>
  </sheetData>
  <conditionalFormatting sqref="E5:E29">
    <cfRule type="expression" priority="2" aboveAverage="0" equalAverage="0" bottom="0" percent="0" rank="0" text="" dxfId="6">
      <formula>$E5="Fix before visit"</formula>
    </cfRule>
    <cfRule type="expression" priority="3" aboveAverage="0" equalAverage="0" bottom="0" percent="0" rank="0" text="" dxfId="4">
      <formula>$E5="OK"</formula>
    </cfRule>
  </conditionalFormatting>
  <dataValidations count="1">
    <dataValidation allowBlank="true" errorStyle="stop" operator="between" showDropDown="false" showErrorMessage="false" showInputMessage="false" sqref="E5:E29" type="list">
      <formula1>"OK,Fix before visit,N/A"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6"/>
    <col collapsed="false" customWidth="true" hidden="false" outlineLevel="0" max="3" min="3" style="1" width="55"/>
    <col collapsed="false" customWidth="true" hidden="false" outlineLevel="0" max="5" min="4" style="1" width="40"/>
  </cols>
  <sheetData>
    <row r="1" customFormat="false" ht="15" hidden="false" customHeight="true" outlineLevel="0" collapsed="false">
      <c r="A1" s="6" t="s">
        <v>720</v>
      </c>
      <c r="B1" s="6" t="s">
        <v>721</v>
      </c>
      <c r="C1" s="6" t="s">
        <v>722</v>
      </c>
      <c r="D1" s="6" t="s">
        <v>723</v>
      </c>
      <c r="E1" s="6" t="s">
        <v>718</v>
      </c>
    </row>
    <row r="2" customFormat="false" ht="23.25" hidden="false" customHeight="true" outlineLevel="0" collapsed="false">
      <c r="A2" s="13" t="s">
        <v>724</v>
      </c>
      <c r="B2" s="13" t="s">
        <v>725</v>
      </c>
      <c r="C2" s="13" t="s">
        <v>726</v>
      </c>
      <c r="D2" s="13" t="s">
        <v>727</v>
      </c>
      <c r="E2" s="13"/>
    </row>
    <row r="3" customFormat="false" ht="23.25" hidden="false" customHeight="true" outlineLevel="0" collapsed="false">
      <c r="A3" s="13" t="s">
        <v>728</v>
      </c>
      <c r="B3" s="13" t="s">
        <v>725</v>
      </c>
      <c r="C3" s="13" t="s">
        <v>729</v>
      </c>
      <c r="D3" s="13" t="s">
        <v>730</v>
      </c>
      <c r="E3" s="13"/>
    </row>
    <row r="4" customFormat="false" ht="23.25" hidden="false" customHeight="true" outlineLevel="0" collapsed="false">
      <c r="A4" s="13" t="s">
        <v>731</v>
      </c>
      <c r="B4" s="13" t="s">
        <v>725</v>
      </c>
      <c r="C4" s="13" t="s">
        <v>732</v>
      </c>
      <c r="D4" s="13" t="s">
        <v>733</v>
      </c>
      <c r="E4" s="13"/>
    </row>
    <row r="5" customFormat="false" ht="23.25" hidden="false" customHeight="true" outlineLevel="0" collapsed="false">
      <c r="A5" s="13" t="s">
        <v>734</v>
      </c>
      <c r="B5" s="13" t="s">
        <v>725</v>
      </c>
      <c r="C5" s="13" t="s">
        <v>735</v>
      </c>
      <c r="D5" s="13" t="s">
        <v>736</v>
      </c>
      <c r="E5" s="13"/>
    </row>
    <row r="6" customFormat="false" ht="23.25" hidden="false" customHeight="true" outlineLevel="0" collapsed="false">
      <c r="A6" s="13" t="s">
        <v>737</v>
      </c>
      <c r="B6" s="13" t="s">
        <v>725</v>
      </c>
      <c r="C6" s="13" t="s">
        <v>738</v>
      </c>
      <c r="D6" s="13" t="s">
        <v>739</v>
      </c>
      <c r="E6" s="13"/>
    </row>
    <row r="7" customFormat="false" ht="23.25" hidden="false" customHeight="true" outlineLevel="0" collapsed="false">
      <c r="A7" s="13" t="s">
        <v>740</v>
      </c>
      <c r="B7" s="13" t="s">
        <v>725</v>
      </c>
      <c r="C7" s="13" t="s">
        <v>741</v>
      </c>
      <c r="D7" s="13" t="s">
        <v>742</v>
      </c>
      <c r="E7" s="13"/>
    </row>
    <row r="8" customFormat="false" ht="23.25" hidden="false" customHeight="true" outlineLevel="0" collapsed="false">
      <c r="A8" s="13" t="s">
        <v>743</v>
      </c>
      <c r="B8" s="13" t="s">
        <v>744</v>
      </c>
      <c r="C8" s="13" t="s">
        <v>745</v>
      </c>
      <c r="D8" s="13" t="s">
        <v>746</v>
      </c>
      <c r="E8" s="13" t="s">
        <v>747</v>
      </c>
    </row>
    <row r="9" customFormat="false" ht="23.25" hidden="false" customHeight="true" outlineLevel="0" collapsed="false">
      <c r="A9" s="13" t="s">
        <v>748</v>
      </c>
      <c r="B9" s="13" t="s">
        <v>744</v>
      </c>
      <c r="C9" s="13" t="s">
        <v>749</v>
      </c>
      <c r="D9" s="13" t="s">
        <v>750</v>
      </c>
      <c r="E9" s="13" t="s">
        <v>747</v>
      </c>
    </row>
    <row r="10" customFormat="false" ht="23.25" hidden="false" customHeight="true" outlineLevel="0" collapsed="false">
      <c r="A10" s="13" t="s">
        <v>751</v>
      </c>
      <c r="B10" s="13" t="s">
        <v>725</v>
      </c>
      <c r="C10" s="13" t="s">
        <v>752</v>
      </c>
      <c r="D10" s="13" t="s">
        <v>753</v>
      </c>
      <c r="E10" s="13"/>
    </row>
    <row r="11" customFormat="false" ht="15" hidden="false" customHeight="true" outlineLevel="0" collapsed="false">
      <c r="A11" s="13" t="s">
        <v>754</v>
      </c>
      <c r="B11" s="13" t="s">
        <v>755</v>
      </c>
      <c r="C11" s="13" t="s">
        <v>756</v>
      </c>
      <c r="D11" s="13" t="s">
        <v>757</v>
      </c>
      <c r="E11" s="13"/>
    </row>
    <row r="12" customFormat="false" ht="23.25" hidden="false" customHeight="true" outlineLevel="0" collapsed="false">
      <c r="A12" s="13" t="s">
        <v>758</v>
      </c>
      <c r="B12" s="13" t="s">
        <v>755</v>
      </c>
      <c r="C12" s="13" t="s">
        <v>759</v>
      </c>
      <c r="D12" s="13" t="s">
        <v>760</v>
      </c>
      <c r="E12" s="13"/>
    </row>
    <row r="13" customFormat="false" ht="34.5" hidden="false" customHeight="true" outlineLevel="0" collapsed="false">
      <c r="A13" s="13" t="s">
        <v>761</v>
      </c>
      <c r="B13" s="13" t="s">
        <v>762</v>
      </c>
      <c r="C13" s="13" t="s">
        <v>763</v>
      </c>
      <c r="D13" s="13" t="s">
        <v>764</v>
      </c>
      <c r="E13" s="13" t="s">
        <v>765</v>
      </c>
    </row>
    <row r="14" customFormat="false" ht="34.5" hidden="false" customHeight="true" outlineLevel="0" collapsed="false">
      <c r="A14" s="13" t="s">
        <v>766</v>
      </c>
      <c r="B14" s="13" t="s">
        <v>767</v>
      </c>
      <c r="C14" s="13" t="s">
        <v>768</v>
      </c>
      <c r="D14" s="13" t="s">
        <v>769</v>
      </c>
      <c r="E14" s="13"/>
    </row>
    <row r="15" customFormat="false" ht="23.25" hidden="false" customHeight="true" outlineLevel="0" collapsed="false">
      <c r="A15" s="13" t="s">
        <v>770</v>
      </c>
      <c r="B15" s="13" t="s">
        <v>725</v>
      </c>
      <c r="C15" s="13" t="s">
        <v>771</v>
      </c>
      <c r="D15" s="13" t="s">
        <v>772</v>
      </c>
      <c r="E15" s="13"/>
    </row>
    <row r="16" customFormat="false" ht="15" hidden="false" customHeight="true" outlineLevel="0" collapsed="false">
      <c r="A16" s="13" t="s">
        <v>773</v>
      </c>
      <c r="B16" s="13" t="s">
        <v>774</v>
      </c>
      <c r="C16" s="13" t="s">
        <v>775</v>
      </c>
      <c r="D16" s="13" t="s">
        <v>776</v>
      </c>
      <c r="E16" s="13"/>
    </row>
    <row r="17" customFormat="false" ht="15" hidden="false" customHeight="true" outlineLevel="0" collapsed="false">
      <c r="A17" s="13" t="s">
        <v>777</v>
      </c>
      <c r="B17" s="13" t="s">
        <v>778</v>
      </c>
      <c r="C17" s="13" t="s">
        <v>779</v>
      </c>
      <c r="D17" s="13" t="s">
        <v>780</v>
      </c>
      <c r="E17" s="13"/>
    </row>
    <row r="18" customFormat="false" ht="23.25" hidden="false" customHeight="true" outlineLevel="0" collapsed="false">
      <c r="A18" s="13" t="s">
        <v>781</v>
      </c>
      <c r="B18" s="13" t="s">
        <v>782</v>
      </c>
      <c r="C18" s="13" t="s">
        <v>783</v>
      </c>
      <c r="D18" s="13" t="s">
        <v>784</v>
      </c>
      <c r="E18" s="13"/>
    </row>
    <row r="19" customFormat="false" ht="23.25" hidden="false" customHeight="true" outlineLevel="0" collapsed="false">
      <c r="A19" s="13" t="s">
        <v>785</v>
      </c>
      <c r="B19" s="13" t="s">
        <v>786</v>
      </c>
      <c r="C19" s="13" t="s">
        <v>787</v>
      </c>
      <c r="D19" s="13" t="s">
        <v>788</v>
      </c>
      <c r="E19" s="13" t="s">
        <v>789</v>
      </c>
    </row>
    <row r="20" customFormat="false" ht="15" hidden="false" customHeight="true" outlineLevel="0" collapsed="false">
      <c r="A20" s="13" t="s">
        <v>790</v>
      </c>
      <c r="B20" s="13" t="s">
        <v>782</v>
      </c>
      <c r="C20" s="13" t="s">
        <v>791</v>
      </c>
      <c r="D20" s="13" t="s">
        <v>788</v>
      </c>
      <c r="E20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2026-10-27T09:18:23Z</dcterms:created>
  <dc:creator>openpyxl</dc:creator>
  <dc:description/>
  <dc:language>en-US</dc:language>
  <cp:lastModifiedBy/>
  <dcterms:modified xsi:type="dcterms:W3CDTF">2026-10-27T09:57:20Z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